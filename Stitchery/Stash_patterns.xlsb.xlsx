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a Janiszewski\Desktop\Stitchery\"/>
    </mc:Choice>
  </mc:AlternateContent>
  <xr:revisionPtr revIDLastSave="0" documentId="13_ncr:1_{7D18A29F-EE5F-4EB5-A980-69BCD1C42D9D}" xr6:coauthVersionLast="44" xr6:coauthVersionMax="44" xr10:uidLastSave="{00000000-0000-0000-0000-000000000000}"/>
  <bookViews>
    <workbookView xWindow="-98" yWindow="-98" windowWidth="22695" windowHeight="14595" xr2:uid="{8436B7E3-BDDD-46BF-97B5-59C712834ED9}"/>
  </bookViews>
  <sheets>
    <sheet name="Stash" sheetId="1" r:id="rId1"/>
    <sheet name="pattern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" i="1" l="1"/>
  <c r="I128" i="1"/>
  <c r="I17" i="1"/>
  <c r="I16" i="1"/>
  <c r="I4" i="1" l="1"/>
  <c r="I123" i="1" l="1"/>
  <c r="G17" i="2" l="1"/>
  <c r="G60" i="2" l="1"/>
  <c r="G16" i="2" l="1"/>
  <c r="G47" i="2"/>
  <c r="G28" i="2"/>
  <c r="G100" i="2"/>
  <c r="G23" i="2"/>
  <c r="G25" i="2"/>
  <c r="G72" i="2"/>
  <c r="G11" i="2"/>
  <c r="G76" i="2"/>
  <c r="G68" i="2"/>
  <c r="G45" i="2"/>
  <c r="G12" i="2"/>
  <c r="C107" i="1"/>
  <c r="I107" i="1" s="1"/>
  <c r="I102" i="1"/>
  <c r="I27" i="1"/>
  <c r="I28" i="1"/>
  <c r="I92" i="1"/>
  <c r="I87" i="1"/>
  <c r="I62" i="1"/>
  <c r="I18" i="1" l="1"/>
  <c r="I7" i="1"/>
</calcChain>
</file>

<file path=xl/sharedStrings.xml><?xml version="1.0" encoding="utf-8"?>
<sst xmlns="http://schemas.openxmlformats.org/spreadsheetml/2006/main" count="1818" uniqueCount="1300">
  <si>
    <t xml:space="preserve">Cascade 220 </t>
  </si>
  <si>
    <t>Duck egg blue</t>
  </si>
  <si>
    <t>4"</t>
  </si>
  <si>
    <t>20-22</t>
  </si>
  <si>
    <t>100/200</t>
  </si>
  <si>
    <t>grams/m</t>
  </si>
  <si>
    <t>3.5/220</t>
  </si>
  <si>
    <t>oz/yd</t>
  </si>
  <si>
    <t>pattern</t>
  </si>
  <si>
    <t>Malabrigo sock</t>
  </si>
  <si>
    <t>superwash wool</t>
  </si>
  <si>
    <t>skeins</t>
  </si>
  <si>
    <t>weight</t>
  </si>
  <si>
    <t>DK</t>
  </si>
  <si>
    <t>fingering</t>
  </si>
  <si>
    <t>Abril 853</t>
  </si>
  <si>
    <t>3.5/440</t>
  </si>
  <si>
    <t>total yards</t>
  </si>
  <si>
    <t>Bark sweater 1200m main, 925 mohair</t>
  </si>
  <si>
    <t>Shibui Lunar</t>
  </si>
  <si>
    <t>lace/fingering</t>
  </si>
  <si>
    <t>merino/silk</t>
  </si>
  <si>
    <t>velvet</t>
  </si>
  <si>
    <t>28-30 on 3.25mm</t>
  </si>
  <si>
    <t>50/401</t>
  </si>
  <si>
    <t>1,76/365</t>
  </si>
  <si>
    <t>1600m</t>
  </si>
  <si>
    <t>Shibui silk cloud</t>
  </si>
  <si>
    <t xml:space="preserve">lace </t>
  </si>
  <si>
    <t>mohair/silk</t>
  </si>
  <si>
    <t>20 on 4.5mm</t>
  </si>
  <si>
    <t>25/300</t>
  </si>
  <si>
    <t>0.88/330</t>
  </si>
  <si>
    <t>1590m</t>
  </si>
  <si>
    <t>Rowan hemp tweed</t>
  </si>
  <si>
    <t>50/95</t>
  </si>
  <si>
    <t>plum</t>
  </si>
  <si>
    <t>sock</t>
  </si>
  <si>
    <t>wool/hemp</t>
  </si>
  <si>
    <t>19 on 4.5mm</t>
  </si>
  <si>
    <t>Shibui Rain</t>
  </si>
  <si>
    <t>5?</t>
  </si>
  <si>
    <t>cotton</t>
  </si>
  <si>
    <t>suit</t>
  </si>
  <si>
    <t>22 on 4mm</t>
  </si>
  <si>
    <t>50/123</t>
  </si>
  <si>
    <t>1.76/135</t>
  </si>
  <si>
    <t>attol scarf interweave spring 19, pg 71. wants weight 3? 3200m</t>
  </si>
  <si>
    <t>Shibui vine</t>
  </si>
  <si>
    <t>paper/cotton/silk</t>
  </si>
  <si>
    <t>abyss</t>
  </si>
  <si>
    <t>18 on 4mm</t>
  </si>
  <si>
    <t>30g</t>
  </si>
  <si>
    <t>160y</t>
  </si>
  <si>
    <t>Gypsy wools rug</t>
  </si>
  <si>
    <t>wensleydale wool</t>
  </si>
  <si>
    <t>8.2 oz</t>
  </si>
  <si>
    <t>Shepherd's wool</t>
  </si>
  <si>
    <t>worsted wool</t>
  </si>
  <si>
    <t>Hunter</t>
  </si>
  <si>
    <t>17 on 5mm</t>
  </si>
  <si>
    <t>4/250</t>
  </si>
  <si>
    <t>mint</t>
  </si>
  <si>
    <t>KoneCtoo Cria Lace</t>
  </si>
  <si>
    <t>Lace</t>
  </si>
  <si>
    <t>alpaca/tencel</t>
  </si>
  <si>
    <t>Cobalt</t>
  </si>
  <si>
    <t>Doubled: 21 on #6</t>
  </si>
  <si>
    <t>100/507</t>
  </si>
  <si>
    <t>Black</t>
  </si>
  <si>
    <t>Singles</t>
  </si>
  <si>
    <t>Trendsetter Twiggy</t>
  </si>
  <si>
    <t>sock/fingering</t>
  </si>
  <si>
    <t>linen/viscose/polyamide</t>
  </si>
  <si>
    <t>112 (silver blue)</t>
  </si>
  <si>
    <t>20 on #5</t>
  </si>
  <si>
    <t>1.7/85ish</t>
  </si>
  <si>
    <t>4?</t>
  </si>
  <si>
    <t>200g/7.2oz=340y</t>
  </si>
  <si>
    <t>Muench Cleo</t>
  </si>
  <si>
    <t>viscose/metal</t>
  </si>
  <si>
    <t>381127(blue/wine/copper)</t>
  </si>
  <si>
    <t>16 on 8-10</t>
  </si>
  <si>
    <t>lace</t>
  </si>
  <si>
    <t>deep water</t>
  </si>
  <si>
    <t>Alpaca yarn Mariquita</t>
  </si>
  <si>
    <t>crocus</t>
  </si>
  <si>
    <t>26-28 on 3.25/3.5</t>
  </si>
  <si>
    <t>3.5/400</t>
  </si>
  <si>
    <t>used for Jan's soft stole; do another?</t>
  </si>
  <si>
    <t>Plymoth Linaza</t>
  </si>
  <si>
    <t>alpaca/linen/tencel</t>
  </si>
  <si>
    <t>2 purple/turq/grey</t>
  </si>
  <si>
    <t>24 on 3.5</t>
  </si>
  <si>
    <t>1060 steel</t>
  </si>
  <si>
    <t>Baah LaJolla</t>
  </si>
  <si>
    <t>superwash merino</t>
  </si>
  <si>
    <t>Pebble</t>
  </si>
  <si>
    <t>30 on #0-2</t>
  </si>
  <si>
    <t>Madelinetosh merino light</t>
  </si>
  <si>
    <t>merino</t>
  </si>
  <si>
    <t>334 penumbra</t>
  </si>
  <si>
    <t>21-32 on 2.25-3.5</t>
  </si>
  <si>
    <t>Trendsetter hand paint</t>
  </si>
  <si>
    <t>recycled linen</t>
  </si>
  <si>
    <t>Trillium(purple/blue)</t>
  </si>
  <si>
    <t>1641 robin's egg</t>
  </si>
  <si>
    <t>BC Garn Lino</t>
  </si>
  <si>
    <t>2?</t>
  </si>
  <si>
    <t>Linen</t>
  </si>
  <si>
    <t>21? 3-6 needles</t>
  </si>
  <si>
    <t>50/150</t>
  </si>
  <si>
    <t>Prism Delicato Layers</t>
  </si>
  <si>
    <t>Tencel</t>
  </si>
  <si>
    <t>Carnelian</t>
  </si>
  <si>
    <t>variable'</t>
  </si>
  <si>
    <t>4/630~</t>
  </si>
  <si>
    <t>Theodora's Pearls Auxanometer</t>
  </si>
  <si>
    <t>bamboo</t>
  </si>
  <si>
    <t>sequoia</t>
  </si>
  <si>
    <t>pull from outside of ball</t>
  </si>
  <si>
    <t>aubergine</t>
  </si>
  <si>
    <t>Manos Alegria</t>
  </si>
  <si>
    <t>superwash/polyamide</t>
  </si>
  <si>
    <t>Kohl</t>
  </si>
  <si>
    <t>28-30 on 2.25/3</t>
  </si>
  <si>
    <t>100/405</t>
  </si>
  <si>
    <t>3.5/445</t>
  </si>
  <si>
    <t>Fibre comp Knightsbridge</t>
  </si>
  <si>
    <t>llama/merino/silk</t>
  </si>
  <si>
    <t>Grasmere</t>
  </si>
  <si>
    <t>20-26 on 5/6</t>
  </si>
  <si>
    <t>sock/dk</t>
  </si>
  <si>
    <t>wool/cotton</t>
  </si>
  <si>
    <t>22 on 5mm</t>
  </si>
  <si>
    <t>150/498</t>
  </si>
  <si>
    <t>Plymoth merino superwash</t>
  </si>
  <si>
    <t>dk</t>
  </si>
  <si>
    <t>merino wool</t>
  </si>
  <si>
    <t>Mosaic blue 1101</t>
  </si>
  <si>
    <t>22 on #6</t>
  </si>
  <si>
    <t>Cornflower 1019</t>
  </si>
  <si>
    <t>KoneCtoo Sebago</t>
  </si>
  <si>
    <t>Gray heather 910</t>
  </si>
  <si>
    <t>22-24 on #5-7</t>
  </si>
  <si>
    <t>50/133</t>
  </si>
  <si>
    <t>Amethyst 787</t>
  </si>
  <si>
    <t>Dark chocolate</t>
  </si>
  <si>
    <t>Milk chocolate</t>
  </si>
  <si>
    <t>Vinnis Colours serina</t>
  </si>
  <si>
    <t>sport</t>
  </si>
  <si>
    <t>lilac</t>
  </si>
  <si>
    <t>26 on 3.25</t>
  </si>
  <si>
    <t>50/111</t>
  </si>
  <si>
    <t>1.75/121</t>
  </si>
  <si>
    <t>Debbie bliss baby cashmerino tonals</t>
  </si>
  <si>
    <t>wool/acrylic/cashmere</t>
  </si>
  <si>
    <t>flower pot34506</t>
  </si>
  <si>
    <t>25 on 3.25</t>
  </si>
  <si>
    <t>50/125</t>
  </si>
  <si>
    <t>614 light blue</t>
  </si>
  <si>
    <t>way more loft than the plymoth dk, maybe could still be used together</t>
  </si>
  <si>
    <t>Malabrigo arroyo</t>
  </si>
  <si>
    <t>Fiesta La Luz Multi</t>
  </si>
  <si>
    <t>silk</t>
  </si>
  <si>
    <t xml:space="preserve">fingering </t>
  </si>
  <si>
    <t>23 on #6</t>
  </si>
  <si>
    <t>2/210</t>
  </si>
  <si>
    <t>Plymoth nettle grove</t>
  </si>
  <si>
    <t>cotton/linen/nettle/silk</t>
  </si>
  <si>
    <t>mermaid 37</t>
  </si>
  <si>
    <t>24 on #5</t>
  </si>
  <si>
    <t>Kylie's gloves</t>
  </si>
  <si>
    <t>acrylic</t>
  </si>
  <si>
    <t>peacock</t>
  </si>
  <si>
    <t>Wonderland water color</t>
  </si>
  <si>
    <t>bulky</t>
  </si>
  <si>
    <t>silk ribbon</t>
  </si>
  <si>
    <t>dreamily blue/yellow</t>
  </si>
  <si>
    <t>20mm</t>
  </si>
  <si>
    <t>website might have something</t>
  </si>
  <si>
    <t>Setting sun teals/purples</t>
  </si>
  <si>
    <t>salmon/green</t>
  </si>
  <si>
    <t>Manos maxima</t>
  </si>
  <si>
    <t>worsted</t>
  </si>
  <si>
    <t>1+</t>
  </si>
  <si>
    <t>Eucalyptus</t>
  </si>
  <si>
    <t>18-20 on 4-5mm</t>
  </si>
  <si>
    <t>3.5/219</t>
  </si>
  <si>
    <t>219+</t>
  </si>
  <si>
    <t>Fibre co Cumbria</t>
  </si>
  <si>
    <t>dk/worsted?</t>
  </si>
  <si>
    <t>wool/mohair</t>
  </si>
  <si>
    <t>Hadrian's wall gray</t>
  </si>
  <si>
    <t>18-20 on #6-8</t>
  </si>
  <si>
    <t>100/216</t>
  </si>
  <si>
    <t>two tone hat?</t>
  </si>
  <si>
    <t>Windermere deep teal</t>
  </si>
  <si>
    <t>Cactus hill farm</t>
  </si>
  <si>
    <t>textured merino</t>
  </si>
  <si>
    <t>Budgie</t>
  </si>
  <si>
    <t>3.2/200</t>
  </si>
  <si>
    <t>my notes say 4.5mm</t>
  </si>
  <si>
    <t>5 (total)</t>
  </si>
  <si>
    <t>HiKoo Sueno</t>
  </si>
  <si>
    <t>s.w. merino/bamboo</t>
  </si>
  <si>
    <t>16-20 on 4-5.5mm</t>
  </si>
  <si>
    <t>100/166</t>
  </si>
  <si>
    <t>Galler Inca Eco</t>
  </si>
  <si>
    <t>worsted thick thin</t>
  </si>
  <si>
    <t xml:space="preserve">cotton </t>
  </si>
  <si>
    <t>Blue Stone</t>
  </si>
  <si>
    <t>18-20 on #8</t>
  </si>
  <si>
    <t>White</t>
  </si>
  <si>
    <t>Katia Concept</t>
  </si>
  <si>
    <t>cotton/merino</t>
  </si>
  <si>
    <t>teal fluff in white 301</t>
  </si>
  <si>
    <t>16 on 4.5mm</t>
  </si>
  <si>
    <t>50/105</t>
  </si>
  <si>
    <t>1.75/115</t>
  </si>
  <si>
    <t>Sublime</t>
  </si>
  <si>
    <t>light teal blue 0307</t>
  </si>
  <si>
    <t>50/116</t>
  </si>
  <si>
    <t>Dad's sweater</t>
  </si>
  <si>
    <t>jewel rainbow</t>
  </si>
  <si>
    <t>large sweater's worth</t>
  </si>
  <si>
    <t>gray brown</t>
  </si>
  <si>
    <t>light brown</t>
  </si>
  <si>
    <t>&lt; 1 skein</t>
  </si>
  <si>
    <t>1.3oz</t>
  </si>
  <si>
    <t>Jan's multistrand red</t>
  </si>
  <si>
    <t>wool/cotton?</t>
  </si>
  <si>
    <t>ruby red</t>
  </si>
  <si>
    <t>enough for something small, maybe even another bag</t>
  </si>
  <si>
    <t>maybe 20</t>
  </si>
  <si>
    <t>fat white get tag</t>
  </si>
  <si>
    <t>fat blue get tag</t>
  </si>
  <si>
    <t>Cascade 128 superwash</t>
  </si>
  <si>
    <t>deep blue 1959</t>
  </si>
  <si>
    <t>14 on 6mm</t>
  </si>
  <si>
    <t>100/117</t>
  </si>
  <si>
    <t>3.5/128</t>
  </si>
  <si>
    <t>Ella Rae cosy alpaca</t>
  </si>
  <si>
    <t>acrylic/alpaca</t>
  </si>
  <si>
    <t>emerald 523</t>
  </si>
  <si>
    <t>8-11 on 6.5-9mm</t>
  </si>
  <si>
    <t>chunky(5)</t>
  </si>
  <si>
    <t>100/110</t>
  </si>
  <si>
    <t>3.5/120</t>
  </si>
  <si>
    <t>Deep brown 504</t>
  </si>
  <si>
    <t>Juniper moon farm moonshine</t>
  </si>
  <si>
    <t>worsted?(4)</t>
  </si>
  <si>
    <t>alpaca/wool/silk</t>
  </si>
  <si>
    <t>cream 02</t>
  </si>
  <si>
    <t>11-14 on 5.5-6.5</t>
  </si>
  <si>
    <t>100/180</t>
  </si>
  <si>
    <t>3.52/197</t>
  </si>
  <si>
    <t>Fibre co Tundra</t>
  </si>
  <si>
    <t>alpaca/merino/silk</t>
  </si>
  <si>
    <t>12-14 on #10-11</t>
  </si>
  <si>
    <t>Loops and threadsKaleidoscope</t>
  </si>
  <si>
    <t>super bulky(6)</t>
  </si>
  <si>
    <t>acrylic/wool</t>
  </si>
  <si>
    <t xml:space="preserve">geode </t>
  </si>
  <si>
    <t>8 on 10mm</t>
  </si>
  <si>
    <t>100/70</t>
  </si>
  <si>
    <t>3.5/77</t>
  </si>
  <si>
    <t>Gypsy wools boucle</t>
  </si>
  <si>
    <t xml:space="preserve">chunky </t>
  </si>
  <si>
    <t>wool</t>
  </si>
  <si>
    <t>deep blues</t>
  </si>
  <si>
    <t>sea green/blue</t>
  </si>
  <si>
    <t>Unknown</t>
  </si>
  <si>
    <t>worsted/chunky</t>
  </si>
  <si>
    <t>bright blue and purple</t>
  </si>
  <si>
    <t>15.6oz</t>
  </si>
  <si>
    <t>Eden black to white0632</t>
  </si>
  <si>
    <t>mink copper/purple209</t>
  </si>
  <si>
    <t>material</t>
  </si>
  <si>
    <t>weave tightness</t>
  </si>
  <si>
    <t>source</t>
  </si>
  <si>
    <t>hook</t>
  </si>
  <si>
    <t>actual yarn</t>
  </si>
  <si>
    <t>Manos wool classica</t>
  </si>
  <si>
    <t>dense</t>
  </si>
  <si>
    <t>5.5+5</t>
  </si>
  <si>
    <t>gauge (4in)</t>
  </si>
  <si>
    <t>total yardage</t>
  </si>
  <si>
    <t>difficulty</t>
  </si>
  <si>
    <t>"easy"</t>
  </si>
  <si>
    <t>Tunisian crochet book p29</t>
  </si>
  <si>
    <t>Plymoth Grass</t>
  </si>
  <si>
    <t>cotton/hemp</t>
  </si>
  <si>
    <t>50g/115y</t>
  </si>
  <si>
    <t>6+5.5</t>
  </si>
  <si>
    <t>Tunisian crochet book p32</t>
  </si>
  <si>
    <t>mystifying embrace</t>
  </si>
  <si>
    <t>mobius wrap</t>
  </si>
  <si>
    <t>tote</t>
  </si>
  <si>
    <t>pillow</t>
  </si>
  <si>
    <t>item</t>
  </si>
  <si>
    <t xml:space="preserve">Button down </t>
  </si>
  <si>
    <t xml:space="preserve">go Green </t>
  </si>
  <si>
    <t>Tunisian crochet book p38</t>
  </si>
  <si>
    <t>Dream in Color Smooshy</t>
  </si>
  <si>
    <t>merino superwash</t>
  </si>
  <si>
    <t>1/2 open</t>
  </si>
  <si>
    <t>4oz/450y</t>
  </si>
  <si>
    <t>8+6.5</t>
  </si>
  <si>
    <t xml:space="preserve"> 100g/126m/138y</t>
  </si>
  <si>
    <t>Stats</t>
  </si>
  <si>
    <t>2 sport</t>
  </si>
  <si>
    <t>4 worsted/aran</t>
  </si>
  <si>
    <t>sangria's surprise</t>
  </si>
  <si>
    <t>rectangular shawl</t>
  </si>
  <si>
    <t>3 dk</t>
  </si>
  <si>
    <t>milk/wool</t>
  </si>
  <si>
    <t>50g/174y</t>
  </si>
  <si>
    <t>5+4.5</t>
  </si>
  <si>
    <t>Tunisian crochet book p50</t>
  </si>
  <si>
    <t>USE MALABRIGO SOCK 2skeins</t>
  </si>
  <si>
    <t>2/3 open</t>
  </si>
  <si>
    <t>essential pleasure</t>
  </si>
  <si>
    <t>afghan</t>
  </si>
  <si>
    <t>12+10</t>
  </si>
  <si>
    <t>1/3 open</t>
  </si>
  <si>
    <t>100g/218y</t>
  </si>
  <si>
    <t>Tunisian crochet book p 58</t>
  </si>
  <si>
    <t>Plymoth Worsted Merino</t>
  </si>
  <si>
    <t>Breakwater</t>
  </si>
  <si>
    <t>4mm</t>
  </si>
  <si>
    <t>HAVE 2 IN SILVER SAGE</t>
  </si>
  <si>
    <t>4+2</t>
  </si>
  <si>
    <t>merino/bamboo</t>
  </si>
  <si>
    <t>level 2</t>
  </si>
  <si>
    <t>100g/225y</t>
  </si>
  <si>
    <t>4, held dbl</t>
  </si>
  <si>
    <t>wavy wrap</t>
  </si>
  <si>
    <t>1 wave = 3.5" 12 rows (3waves trough to crest) = 5.5"</t>
  </si>
  <si>
    <t>Interweave Spring 2019 p 64</t>
  </si>
  <si>
    <t>Porto top</t>
  </si>
  <si>
    <t>cover up sweater (open armpit to waist)</t>
  </si>
  <si>
    <t>50g/185y</t>
  </si>
  <si>
    <t>rib: 17 st/3", 4 ch5 spaces+9sc (15 rows) = 4.75"</t>
  </si>
  <si>
    <t>Interweave Spring 2019 p 22</t>
  </si>
  <si>
    <t>Kelbourne woolens</t>
  </si>
  <si>
    <t>cotton/linen</t>
  </si>
  <si>
    <t>Victorian shrug+wrap</t>
  </si>
  <si>
    <t>long sleeved wrap front sweater</t>
  </si>
  <si>
    <t>merino/microfiber/cashmere</t>
  </si>
  <si>
    <t>Debbie bliss baby cashmerino</t>
  </si>
  <si>
    <t>Have this in orange…</t>
  </si>
  <si>
    <t>50g/137y</t>
  </si>
  <si>
    <t>4.25/3.75/5</t>
  </si>
  <si>
    <t>crochet me p 27</t>
  </si>
  <si>
    <t>Mesmerize sweater</t>
  </si>
  <si>
    <t>swirled long sleeve coverup</t>
  </si>
  <si>
    <t>3 dk light</t>
  </si>
  <si>
    <t>silk/sequins</t>
  </si>
  <si>
    <t>100g/260y+100g/225y</t>
  </si>
  <si>
    <t>5+2</t>
  </si>
  <si>
    <t>1300 + 450</t>
  </si>
  <si>
    <t>3/4 open</t>
  </si>
  <si>
    <t>12 dtr x 3 rows</t>
  </si>
  <si>
    <t>crochet me p 61</t>
  </si>
  <si>
    <t>Tilli tomas Pure&amp;Simple/Disco lights</t>
  </si>
  <si>
    <t>Comfy cardi</t>
  </si>
  <si>
    <t>shaped like my black shrug</t>
  </si>
  <si>
    <t>alpaca/silk</t>
  </si>
  <si>
    <t>50g/146y</t>
  </si>
  <si>
    <t>1/4 open</t>
  </si>
  <si>
    <t>30x12 rows = 4.75"</t>
  </si>
  <si>
    <t>Crochet me p 91</t>
  </si>
  <si>
    <t>BREAKWATER</t>
  </si>
  <si>
    <t>cocoon bag</t>
  </si>
  <si>
    <t>mesh/flowers produce bag</t>
  </si>
  <si>
    <t>50g/165y</t>
  </si>
  <si>
    <t>hemp</t>
  </si>
  <si>
    <t>2.5"=1flower</t>
  </si>
  <si>
    <t>Crochet me p115</t>
  </si>
  <si>
    <t>linen?</t>
  </si>
  <si>
    <t>circle rug</t>
  </si>
  <si>
    <t>circle motifs</t>
  </si>
  <si>
    <t>9+10</t>
  </si>
  <si>
    <t>6+1+1+2</t>
  </si>
  <si>
    <t>circle=9.5cm</t>
  </si>
  <si>
    <t>Crochet me p125</t>
  </si>
  <si>
    <t>4oz/65y</t>
  </si>
  <si>
    <t>390+65+65+130</t>
  </si>
  <si>
    <t>Hacylon rug wool:much thicker than mine</t>
  </si>
  <si>
    <t>Daiso</t>
  </si>
  <si>
    <t>light worsted</t>
  </si>
  <si>
    <t>purple/charcoal</t>
  </si>
  <si>
    <t>1oz/80y</t>
  </si>
  <si>
    <t>teal/grass</t>
  </si>
  <si>
    <t>salmon rainbow</t>
  </si>
  <si>
    <t>Two way top</t>
  </si>
  <si>
    <t>1 lace</t>
  </si>
  <si>
    <t>100g/220y</t>
  </si>
  <si>
    <t>advanced</t>
  </si>
  <si>
    <t>designer crochet p 83</t>
  </si>
  <si>
    <t>Knit picks gloss fingering</t>
  </si>
  <si>
    <t>sc rib:30st=5"</t>
  </si>
  <si>
    <t>butterfly arm sweater</t>
  </si>
  <si>
    <t>cowl neck sweater dress</t>
  </si>
  <si>
    <t>boring body; lighter yarn?</t>
  </si>
  <si>
    <t>100g/306y</t>
  </si>
  <si>
    <t>1/10 open</t>
  </si>
  <si>
    <t>4 different</t>
  </si>
  <si>
    <t>intermediate</t>
  </si>
  <si>
    <t>designer crochet p 107</t>
  </si>
  <si>
    <t>Lion brand LB collection</t>
  </si>
  <si>
    <t>Hiking vest</t>
  </si>
  <si>
    <t>sleeveless, zip up</t>
  </si>
  <si>
    <t>2.75/3.5</t>
  </si>
  <si>
    <t>1 fine</t>
  </si>
  <si>
    <t>50g/150y</t>
  </si>
  <si>
    <t>39 or 36/6"</t>
  </si>
  <si>
    <t>beginner</t>
  </si>
  <si>
    <t>designer crochet p125</t>
  </si>
  <si>
    <t>Mango moon Bulu</t>
  </si>
  <si>
    <t>Capelette</t>
  </si>
  <si>
    <t>short wavy high neck</t>
  </si>
  <si>
    <t>3 light</t>
  </si>
  <si>
    <t>Malabrigo Arroyo</t>
  </si>
  <si>
    <t>100g/335y</t>
  </si>
  <si>
    <t>30=5"</t>
  </si>
  <si>
    <t>designer crochet p169</t>
  </si>
  <si>
    <t>Malabrigo silky merino</t>
  </si>
  <si>
    <t>silk/merino</t>
  </si>
  <si>
    <t>50/137</t>
  </si>
  <si>
    <t>1.75/150</t>
  </si>
  <si>
    <t>150 each</t>
  </si>
  <si>
    <t>multi</t>
  </si>
  <si>
    <t>3D neckpiece</t>
  </si>
  <si>
    <t>tight chunky leaves</t>
  </si>
  <si>
    <t>alpaca/wool</t>
  </si>
  <si>
    <t>50g/82y</t>
  </si>
  <si>
    <t>aran</t>
  </si>
  <si>
    <t>1-2?</t>
  </si>
  <si>
    <t>3D crochet in stitchery file</t>
  </si>
  <si>
    <t>Drops Nepal</t>
  </si>
  <si>
    <t>Pigeon wings</t>
  </si>
  <si>
    <t>Danish lady, in stitchery file</t>
  </si>
  <si>
    <t>tapering scarf</t>
  </si>
  <si>
    <t>roving by canard</t>
  </si>
  <si>
    <t>100g/120m</t>
  </si>
  <si>
    <t>360m</t>
  </si>
  <si>
    <t>merino/angora</t>
  </si>
  <si>
    <t>14 on 8-10mm</t>
  </si>
  <si>
    <t>Audrey boots</t>
  </si>
  <si>
    <t>2 tone house boots</t>
  </si>
  <si>
    <t>I and L</t>
  </si>
  <si>
    <t>85g/135y</t>
  </si>
  <si>
    <t>2+1</t>
  </si>
  <si>
    <t>acrylic?</t>
  </si>
  <si>
    <t>7dc = 2inches</t>
  </si>
  <si>
    <t>mamachee stitchery file</t>
  </si>
  <si>
    <t>Lion brand jiffy (14.5 on 6mm)</t>
  </si>
  <si>
    <t xml:space="preserve">Winter waves </t>
  </si>
  <si>
    <t>beanie/slouch</t>
  </si>
  <si>
    <t>19=4.75</t>
  </si>
  <si>
    <t>crocheted simplicity stitchery file</t>
  </si>
  <si>
    <t>2 sebago together? Purple/dark choc. Or plymoth DK cornflower</t>
  </si>
  <si>
    <t>Lind</t>
  </si>
  <si>
    <t>Danish afghan</t>
  </si>
  <si>
    <t>3mm</t>
  </si>
  <si>
    <t>22.5x11</t>
  </si>
  <si>
    <t>50g/191y</t>
  </si>
  <si>
    <t>Mirasol sulka legato</t>
  </si>
  <si>
    <t>Gail slouch beanie</t>
  </si>
  <si>
    <t>fluffy hat</t>
  </si>
  <si>
    <t>5.5/6.5</t>
  </si>
  <si>
    <t>Woven and braided scarf</t>
  </si>
  <si>
    <t>fluffy, similar base for ribbon idea</t>
  </si>
  <si>
    <t>25g/230y</t>
  </si>
  <si>
    <t>1+1+1</t>
  </si>
  <si>
    <t>fluffy</t>
  </si>
  <si>
    <t>Use the 3 plymoth linza colors</t>
  </si>
  <si>
    <t>wrapped in crochet p21</t>
  </si>
  <si>
    <t>spiral shawl</t>
  </si>
  <si>
    <t>large, clean lines</t>
  </si>
  <si>
    <t>100g/260 or 225y</t>
  </si>
  <si>
    <t>3+2</t>
  </si>
  <si>
    <t>780+450</t>
  </si>
  <si>
    <t>wrapped in crochet p105</t>
  </si>
  <si>
    <t>Baah lahoya pebble with seed beads</t>
  </si>
  <si>
    <t>crochet spot.com</t>
  </si>
  <si>
    <t xml:space="preserve">Do in malabrigo </t>
  </si>
  <si>
    <t>ish</t>
  </si>
  <si>
    <t>Garden grows hat</t>
  </si>
  <si>
    <t>2 color vines</t>
  </si>
  <si>
    <t>teal and plum fingering</t>
  </si>
  <si>
    <t>Rowan kid silk haze (same makeup as shibui silk cloud), with silk ribbon</t>
  </si>
  <si>
    <t>Leaves Hat</t>
  </si>
  <si>
    <t>worsted/textured</t>
  </si>
  <si>
    <t>Mother of Dragons bag</t>
  </si>
  <si>
    <t>small bag w scales</t>
  </si>
  <si>
    <t>5mm</t>
  </si>
  <si>
    <t>50g/109y</t>
  </si>
  <si>
    <t>300y</t>
  </si>
  <si>
    <t>any</t>
  </si>
  <si>
    <t>tight</t>
  </si>
  <si>
    <t>8x4</t>
  </si>
  <si>
    <t>Ravelry</t>
  </si>
  <si>
    <t>remaining peacock yarn</t>
  </si>
  <si>
    <t>Ashoka top</t>
  </si>
  <si>
    <t>open top, 3/4 loose sleeves</t>
  </si>
  <si>
    <t>4.25mm</t>
  </si>
  <si>
    <t>sport(2)</t>
  </si>
  <si>
    <t>4oz/330y</t>
  </si>
  <si>
    <t>1117 though I want the base tighter</t>
  </si>
  <si>
    <t>merino/cashmere/nylon</t>
  </si>
  <si>
    <t>open</t>
  </si>
  <si>
    <t>19x11</t>
  </si>
  <si>
    <t>ravelry</t>
  </si>
  <si>
    <t>Baah silver, or madelinetosh penumbra?</t>
  </si>
  <si>
    <t>Anzula Luxury Larns, Ava</t>
  </si>
  <si>
    <t>Capri circle bag</t>
  </si>
  <si>
    <t>round shoulder bag</t>
  </si>
  <si>
    <t>6mm</t>
  </si>
  <si>
    <t>100g/3.5oz/242y</t>
  </si>
  <si>
    <t>fuzzy? Slender ribbon poly/viscose</t>
  </si>
  <si>
    <t>12x14 on 6.5mm</t>
  </si>
  <si>
    <t>moderate</t>
  </si>
  <si>
    <t>Lion Brand Rewind</t>
  </si>
  <si>
    <t>French market bag</t>
  </si>
  <si>
    <t>mesh/stretchy bag</t>
  </si>
  <si>
    <t>worsted(4)</t>
  </si>
  <si>
    <t>558y</t>
  </si>
  <si>
    <t>very open</t>
  </si>
  <si>
    <t>Lion brand 24/7 cotton</t>
  </si>
  <si>
    <t>Tapestry bag</t>
  </si>
  <si>
    <t>two green wools</t>
  </si>
  <si>
    <t>.8?</t>
  </si>
  <si>
    <t xml:space="preserve">Used for French market bag </t>
  </si>
  <si>
    <t>Used on bobble tote</t>
  </si>
  <si>
    <t>Bobble tote</t>
  </si>
  <si>
    <t>Chill beanie</t>
  </si>
  <si>
    <t>Crochet fix in stitchery file</t>
  </si>
  <si>
    <t>basket weave hat</t>
  </si>
  <si>
    <t>Sun City Bag</t>
  </si>
  <si>
    <t>3ish?</t>
  </si>
  <si>
    <t>1.8oz/125y</t>
  </si>
  <si>
    <t>rayon raffia</t>
  </si>
  <si>
    <t>very tight</t>
  </si>
  <si>
    <t>20x21</t>
  </si>
  <si>
    <t>in stitchery file</t>
  </si>
  <si>
    <t>King cole raffia</t>
  </si>
  <si>
    <t>Ln49 dark blue</t>
  </si>
  <si>
    <t>Ln51 bright blue</t>
  </si>
  <si>
    <t>painted desert 17120 (peach, tan, cream)</t>
  </si>
  <si>
    <t>80g sister yarn to the purple gray I made my cloche of</t>
  </si>
  <si>
    <t>Mosaic bucket bag</t>
  </si>
  <si>
    <t>3 color cinch top satchel</t>
  </si>
  <si>
    <t>2 of the thick thin cottons? Or 2 of the Sebagos. Plus something lighter weight. Can I use the baby bliss in this at all</t>
  </si>
  <si>
    <t>I love this cotton</t>
  </si>
  <si>
    <t>150/150/140 or 100/80/70</t>
  </si>
  <si>
    <t>https://yarnandchai.com/mosaicbucketbag/</t>
  </si>
  <si>
    <t>two tone hat? Faux knit cable beanie on Ravelry? 5.00</t>
  </si>
  <si>
    <t>USED UP</t>
  </si>
  <si>
    <t>Sun city circle bag!! Will need more yarn and millinery wire</t>
  </si>
  <si>
    <t>Liula</t>
  </si>
  <si>
    <t>Gradient leaf wrap</t>
  </si>
  <si>
    <t>32+15 on sale</t>
  </si>
  <si>
    <t>sock/boucle</t>
  </si>
  <si>
    <t>Gradient sweater</t>
  </si>
  <si>
    <t>spotting clouds</t>
  </si>
  <si>
    <t>3/3.5</t>
  </si>
  <si>
    <t>1000m/215g</t>
  </si>
  <si>
    <t>1+solid color</t>
  </si>
  <si>
    <t>cotton/acrylic</t>
  </si>
  <si>
    <t>18dc unblocked</t>
  </si>
  <si>
    <t>printed</t>
  </si>
  <si>
    <t>scheepjes whirl/catona</t>
  </si>
  <si>
    <t>Eyes top</t>
  </si>
  <si>
    <t>2 tone short sleeved top</t>
  </si>
  <si>
    <t>12x7rows dc</t>
  </si>
  <si>
    <t>worsted summer weight</t>
  </si>
  <si>
    <t>4/1 or a little more</t>
  </si>
  <si>
    <t>460/131y</t>
  </si>
  <si>
    <t>cotton/poly/wool</t>
  </si>
  <si>
    <t>rowan softknit cotton/rowan summerspun</t>
  </si>
  <si>
    <t>Pernilla from Filcolana gauge =28; planning to do in cascade 220 duck egg color with 4.5</t>
  </si>
  <si>
    <t>Danish throw - leaves, ordered 9 more of presumably different dye lot</t>
  </si>
  <si>
    <t>Used 2 for leaf wrap</t>
  </si>
  <si>
    <t>color</t>
  </si>
  <si>
    <t>Ln64 silver</t>
  </si>
  <si>
    <t>Berroco Quechua</t>
  </si>
  <si>
    <t>4/4colors</t>
  </si>
  <si>
    <t>Merino/alpaca/yak</t>
  </si>
  <si>
    <t>23 on 3mm</t>
  </si>
  <si>
    <t>gray/silver/deep blue/raspberry</t>
  </si>
  <si>
    <t>1363:blue 1370:gray 1326:raspberry 1320:silver</t>
  </si>
  <si>
    <t>ordered gray for the solid and 900m beyond the sea</t>
  </si>
  <si>
    <t>Bruni Top</t>
  </si>
  <si>
    <t>ties in back sweater</t>
  </si>
  <si>
    <t>DK3</t>
  </si>
  <si>
    <t>6 and 4 mm</t>
  </si>
  <si>
    <t>Need 400g/976m</t>
  </si>
  <si>
    <t>976m/1068y</t>
  </si>
  <si>
    <t>a little open</t>
  </si>
  <si>
    <t>13x9rows</t>
  </si>
  <si>
    <t>Linda Skyia</t>
  </si>
  <si>
    <t xml:space="preserve">Katia Concept? Blue fluff… </t>
  </si>
  <si>
    <t>Striped mini sweater</t>
  </si>
  <si>
    <t>Vogue</t>
  </si>
  <si>
    <t>Cropped 2 color sweater</t>
  </si>
  <si>
    <t>3+3</t>
  </si>
  <si>
    <t>acrylic/poly</t>
  </si>
  <si>
    <t>4.5 and 3.5</t>
  </si>
  <si>
    <t>Lion brand glitterspun</t>
  </si>
  <si>
    <t>14hdc to 4in, 8rows to 3in</t>
  </si>
  <si>
    <t>345 + 345</t>
  </si>
  <si>
    <t>50g/115yd 16sc x 20rows on 5.5mm</t>
  </si>
  <si>
    <t>2tone leaf scarf</t>
  </si>
  <si>
    <t>50g/146m</t>
  </si>
  <si>
    <t>2+2</t>
  </si>
  <si>
    <t>300 + 300</t>
  </si>
  <si>
    <t>beaded silk</t>
  </si>
  <si>
    <t>22sc x 24 rows</t>
  </si>
  <si>
    <t>artyarns beaded silk light says its tension is 20 stitches, 4mm</t>
  </si>
  <si>
    <t>Muench cleo?</t>
  </si>
  <si>
    <t>Use a silky merino skein?</t>
  </si>
  <si>
    <t>BULK</t>
  </si>
  <si>
    <t>Yarn</t>
  </si>
  <si>
    <t>Can also sub in Juniper moon farm Neve for the softknit</t>
  </si>
  <si>
    <t>buttoned scarf</t>
  </si>
  <si>
    <t>skinny/multi wrap cowl</t>
  </si>
  <si>
    <t>cowl of chains for boucle</t>
  </si>
  <si>
    <t>chains hooked together at intervals</t>
  </si>
  <si>
    <t>3.5g</t>
  </si>
  <si>
    <t>wool/silk boucle</t>
  </si>
  <si>
    <t>16 chain stitches</t>
  </si>
  <si>
    <t>easy</t>
  </si>
  <si>
    <t>knit simple</t>
  </si>
  <si>
    <t>Azapa by Aruacania/KF</t>
  </si>
  <si>
    <t>galler inca eco? Trying with a silky merino, might be too small a thread</t>
  </si>
  <si>
    <t>SQUID</t>
  </si>
  <si>
    <t>Use big ball of teal linen doubled; will need more, 2nd color for sides/handles</t>
  </si>
  <si>
    <t>made gloves for taiwan lady, lighter than arroyo</t>
  </si>
  <si>
    <t>&lt;1</t>
  </si>
  <si>
    <t>Tuti fruiti single ply</t>
  </si>
  <si>
    <t>10 yds</t>
  </si>
  <si>
    <t>pink/purple/yellow</t>
  </si>
  <si>
    <t>made braided headband with grape twist closure</t>
  </si>
  <si>
    <t>not particularly color fast</t>
  </si>
  <si>
    <t>Hikoo Woodi</t>
  </si>
  <si>
    <t>Abaca pulp/cotton</t>
  </si>
  <si>
    <t>Birch (1014)</t>
  </si>
  <si>
    <t>12-16 on 4.5-5mm</t>
  </si>
  <si>
    <t>50/55</t>
  </si>
  <si>
    <t>1.75/60</t>
  </si>
  <si>
    <t xml:space="preserve">sock </t>
  </si>
  <si>
    <t>bright reds</t>
  </si>
  <si>
    <t>Seashell basket</t>
  </si>
  <si>
    <t>Berroco Linen stonewash</t>
  </si>
  <si>
    <t>dk (#3)</t>
  </si>
  <si>
    <t>braided linen</t>
  </si>
  <si>
    <t>7357 light gray blue</t>
  </si>
  <si>
    <t>17sc on 4.5</t>
  </si>
  <si>
    <t>1.75/137</t>
  </si>
  <si>
    <t>needs something looser to not crumple its ribbon like quality</t>
  </si>
  <si>
    <t>England 5 ply stranded</t>
  </si>
  <si>
    <t>polyester</t>
  </si>
  <si>
    <t xml:space="preserve">Ombre Beyond the sea </t>
  </si>
  <si>
    <t>150/900</t>
  </si>
  <si>
    <t>light light gray</t>
  </si>
  <si>
    <t>75/450</t>
  </si>
  <si>
    <t>England 8 ply stranded</t>
  </si>
  <si>
    <t>ombre my old friend</t>
  </si>
  <si>
    <t>220/820</t>
  </si>
  <si>
    <t>2 skeins are all 1 ombre</t>
  </si>
  <si>
    <t xml:space="preserve">weighs 142g </t>
  </si>
  <si>
    <t>236 (470 2 tone)</t>
  </si>
  <si>
    <t>140 (280 2 tone)</t>
  </si>
  <si>
    <t>use together</t>
  </si>
  <si>
    <t>tips of attol scarf? Use a bigger stitch to make it smoother?</t>
  </si>
  <si>
    <t>264 (~600 2 tone)</t>
  </si>
  <si>
    <t>300m (~600 2 tone)</t>
  </si>
  <si>
    <t>400 (800 2 tone)</t>
  </si>
  <si>
    <t>208g</t>
  </si>
  <si>
    <t>Cielo Azul</t>
  </si>
  <si>
    <t>28-30 on 3mm</t>
  </si>
  <si>
    <t>100/425</t>
  </si>
  <si>
    <t>445y</t>
  </si>
  <si>
    <t xml:space="preserve">almost 1 </t>
  </si>
  <si>
    <t>Oxygen</t>
  </si>
  <si>
    <t>Piedras 862</t>
  </si>
  <si>
    <t>24ish sc</t>
  </si>
  <si>
    <t>pansy</t>
  </si>
  <si>
    <t>17x21 on 5mm</t>
  </si>
  <si>
    <t>mobius cowl, 3D neckpiece</t>
  </si>
  <si>
    <t>plum?</t>
  </si>
  <si>
    <t>Galler peruvian tweed</t>
  </si>
  <si>
    <t>alpaca</t>
  </si>
  <si>
    <t>20 on 4mm</t>
  </si>
  <si>
    <t>227/550</t>
  </si>
  <si>
    <t>8/600</t>
  </si>
  <si>
    <t>fresco y seco 128 greens</t>
  </si>
  <si>
    <t>.3?</t>
  </si>
  <si>
    <t>Jupiter reds</t>
  </si>
  <si>
    <t>20-22 on 3.5-4</t>
  </si>
  <si>
    <t>100/305</t>
  </si>
  <si>
    <t>Malabrigo rios</t>
  </si>
  <si>
    <t>Lotus purples/blues</t>
  </si>
  <si>
    <t>18-22 on #6-8</t>
  </si>
  <si>
    <t>perfect sky? 631</t>
  </si>
  <si>
    <t>Cascade alpaca lace</t>
  </si>
  <si>
    <t>3?</t>
  </si>
  <si>
    <t>baby alpaca</t>
  </si>
  <si>
    <t>light blue</t>
  </si>
  <si>
    <t>28 on 2.75mm</t>
  </si>
  <si>
    <t>50/400</t>
  </si>
  <si>
    <t>1.75/437</t>
  </si>
  <si>
    <t>need to weigh</t>
  </si>
  <si>
    <t>Palouose merino lace</t>
  </si>
  <si>
    <t>sour cherries</t>
  </si>
  <si>
    <t>varied'</t>
  </si>
  <si>
    <t>4/825</t>
  </si>
  <si>
    <t>in project bag for intricate shawl</t>
  </si>
  <si>
    <t>Bendigo tweed 8 ply</t>
  </si>
  <si>
    <t>wool/bamboo</t>
  </si>
  <si>
    <t>Dusty plum</t>
  </si>
  <si>
    <t>200/400</t>
  </si>
  <si>
    <t>Bendigo imperial 8 ply</t>
  </si>
  <si>
    <t>wool/alpaca/silk</t>
  </si>
  <si>
    <t>midnight deep blue</t>
  </si>
  <si>
    <t>800m</t>
  </si>
  <si>
    <t>Bendigo bloom</t>
  </si>
  <si>
    <t>winter: blues/greens</t>
  </si>
  <si>
    <t>Knit look long sleeve scarf</t>
  </si>
  <si>
    <t>Bark Sweater</t>
  </si>
  <si>
    <t>cable afghan</t>
  </si>
  <si>
    <t>cabeled winter skirt</t>
  </si>
  <si>
    <t>consider owls</t>
  </si>
  <si>
    <t>lacy legwarmers</t>
  </si>
  <si>
    <t>japanese knot bag</t>
  </si>
  <si>
    <t>Motif bag</t>
  </si>
  <si>
    <t>lacy snowflakes on dense bg</t>
  </si>
  <si>
    <t>polar star poncho sweater</t>
  </si>
  <si>
    <t>snow capped throw</t>
  </si>
  <si>
    <t>spiral throw</t>
  </si>
  <si>
    <t>suit jacket</t>
  </si>
  <si>
    <t>Aestes summer tank</t>
  </si>
  <si>
    <t>sweater pullover</t>
  </si>
  <si>
    <t>body hugging dress length</t>
  </si>
  <si>
    <t>Textured blanket</t>
  </si>
  <si>
    <t>Vicar's tea cosy</t>
  </si>
  <si>
    <t>Sensum sweater</t>
  </si>
  <si>
    <t>White Russian</t>
  </si>
  <si>
    <t>dense 2 tone cowl</t>
  </si>
  <si>
    <t>WieGemalt</t>
  </si>
  <si>
    <t>Hubble the squid</t>
  </si>
  <si>
    <t>Leaves cascade sweater</t>
  </si>
  <si>
    <t>Column Dress</t>
  </si>
  <si>
    <t>Corset of thread</t>
  </si>
  <si>
    <t>Dafodill clutch</t>
  </si>
  <si>
    <t>Anaconda</t>
  </si>
  <si>
    <t>tunisian wrap</t>
  </si>
  <si>
    <t>Macha</t>
  </si>
  <si>
    <t>selkie</t>
  </si>
  <si>
    <t>Double ladder wrap</t>
  </si>
  <si>
    <t>Irish Fall wrap</t>
  </si>
  <si>
    <t>already started</t>
  </si>
  <si>
    <t>tight tank top</t>
  </si>
  <si>
    <t>14x8rows</t>
  </si>
  <si>
    <t>50g/240m 25g/225</t>
  </si>
  <si>
    <t>5+5</t>
  </si>
  <si>
    <t>5-7mm</t>
  </si>
  <si>
    <t>1200/1125</t>
  </si>
  <si>
    <t>two stranded open sweater</t>
  </si>
  <si>
    <t>wool +kid moair</t>
  </si>
  <si>
    <t>Danish lady</t>
  </si>
  <si>
    <t>20fpdc 12.5 rounds</t>
  </si>
  <si>
    <t>is this gauge workable at all?</t>
  </si>
  <si>
    <t>loose</t>
  </si>
  <si>
    <t>2 tone above knee</t>
  </si>
  <si>
    <t>4ply fingering</t>
  </si>
  <si>
    <t>50g/200m</t>
  </si>
  <si>
    <t>two strands held together!</t>
  </si>
  <si>
    <t>9 + 5</t>
  </si>
  <si>
    <t>1800 + 1000</t>
  </si>
  <si>
    <t>wool blend?</t>
  </si>
  <si>
    <t>12 stitches 10 rows</t>
  </si>
  <si>
    <t>fingerless gloves</t>
  </si>
  <si>
    <t>40g/155y</t>
  </si>
  <si>
    <t>SW merino/nylon</t>
  </si>
  <si>
    <t>hedgehog fibers sock (100g/400m)</t>
  </si>
  <si>
    <t>24 blo slip st</t>
  </si>
  <si>
    <t>light worsted 11wpi</t>
  </si>
  <si>
    <t>3 and 5mm</t>
  </si>
  <si>
    <t>small creature</t>
  </si>
  <si>
    <t xml:space="preserve">Miss La Motte </t>
  </si>
  <si>
    <t>DK merino</t>
  </si>
  <si>
    <t>9sc x 9 = 5x5</t>
  </si>
  <si>
    <t>62g/130m</t>
  </si>
  <si>
    <t>130m</t>
  </si>
  <si>
    <t>fingering/superfine?</t>
  </si>
  <si>
    <t>1000m</t>
  </si>
  <si>
    <t>open work leaf sweater</t>
  </si>
  <si>
    <t>??</t>
  </si>
  <si>
    <t>18dc x10</t>
  </si>
  <si>
    <t>50g/218y</t>
  </si>
  <si>
    <t>Valley yarn huntington, but first example is finer</t>
  </si>
  <si>
    <t>braided fingerless gloves</t>
  </si>
  <si>
    <t>used ~1.8 on chunky leaf neck piece</t>
  </si>
  <si>
    <t>cosy winter sweater</t>
  </si>
  <si>
    <t>8mm</t>
  </si>
  <si>
    <t>light bulky/heavy worsted</t>
  </si>
  <si>
    <t>100g/180m</t>
  </si>
  <si>
    <t>wool/nothing fuzzy</t>
  </si>
  <si>
    <t>9x6rows</t>
  </si>
  <si>
    <t>Happy sheep woolpower or paintbox simply aran</t>
  </si>
  <si>
    <t>3D shell basket</t>
  </si>
  <si>
    <t xml:space="preserve">light bulky </t>
  </si>
  <si>
    <t>cotton butcher's twine</t>
  </si>
  <si>
    <t xml:space="preserve">mobius cowl, 3D neckpiece </t>
  </si>
  <si>
    <t>bought purple linen for outside</t>
  </si>
  <si>
    <t>200g fingering, 3 ply doubled YarnStories, bg in worsted cotton</t>
  </si>
  <si>
    <t>2 and 5</t>
  </si>
  <si>
    <t>660/600</t>
  </si>
  <si>
    <t>dk NOT SUPERWASH</t>
  </si>
  <si>
    <t>FABLE COWL</t>
  </si>
  <si>
    <t>Fable cowl</t>
  </si>
  <si>
    <t>tunisian 2 color cowl</t>
  </si>
  <si>
    <t>Plymoth encore mega</t>
  </si>
  <si>
    <t>64y/100g</t>
  </si>
  <si>
    <t>192 + 192</t>
  </si>
  <si>
    <t>9mm double ended</t>
  </si>
  <si>
    <t>8x8</t>
  </si>
  <si>
    <t>FABLE COWL could double</t>
  </si>
  <si>
    <t>Bendigo cotton 8 ply</t>
  </si>
  <si>
    <t>fuschia</t>
  </si>
  <si>
    <t>200g</t>
  </si>
  <si>
    <t>Yarn Stories linen</t>
  </si>
  <si>
    <t>3 ply lace/fingering</t>
  </si>
  <si>
    <t>linen</t>
  </si>
  <si>
    <t>deep blue 601</t>
  </si>
  <si>
    <t>eggplant 502</t>
  </si>
  <si>
    <t>3.5/660y</t>
  </si>
  <si>
    <t>leaves cascade sweater</t>
  </si>
  <si>
    <t>3.5/660</t>
  </si>
  <si>
    <t>motif bag, used double</t>
  </si>
  <si>
    <t xml:space="preserve">Sublime </t>
  </si>
  <si>
    <t>Fibra Natura Good Earth</t>
  </si>
  <si>
    <t>BokChoy/Jade/Elderberry/canyon</t>
  </si>
  <si>
    <t>16-20 on 7-9</t>
  </si>
  <si>
    <t>100g</t>
  </si>
  <si>
    <t>170y</t>
  </si>
  <si>
    <t>Pearl 10 grays</t>
  </si>
  <si>
    <t>630y</t>
  </si>
  <si>
    <t>Bendigo stellar 8 ply</t>
  </si>
  <si>
    <t>bamboo/wool</t>
  </si>
  <si>
    <t>emerald</t>
  </si>
  <si>
    <t>Katia concept Polynesia</t>
  </si>
  <si>
    <t>cotton/linen/viscose</t>
  </si>
  <si>
    <t>violet 67</t>
  </si>
  <si>
    <t>24 on 3.5-4.5</t>
  </si>
  <si>
    <t>50/165</t>
  </si>
  <si>
    <t>1.75/180</t>
  </si>
  <si>
    <t>crème 61</t>
  </si>
  <si>
    <t>Katia Lincys</t>
  </si>
  <si>
    <t>mahogany 303</t>
  </si>
  <si>
    <t>16 on 2-5</t>
  </si>
  <si>
    <t xml:space="preserve">linen </t>
  </si>
  <si>
    <t>comfy cardi?</t>
  </si>
  <si>
    <t>greens</t>
  </si>
  <si>
    <t>Mirasol sulka legato, I think</t>
  </si>
  <si>
    <t xml:space="preserve">Blue sky alpacas 22 on US4, </t>
  </si>
  <si>
    <t>England 10 ply stranded</t>
  </si>
  <si>
    <t>beyond the sea</t>
  </si>
  <si>
    <t>pointed circle cape/ use for crop sweater?</t>
  </si>
  <si>
    <t>using Australia dark blue</t>
  </si>
  <si>
    <t>1190m</t>
  </si>
  <si>
    <t>acrylic/merino</t>
  </si>
  <si>
    <t>85g/170m</t>
  </si>
  <si>
    <t>naturally caron country</t>
  </si>
  <si>
    <t>stitchery file</t>
  </si>
  <si>
    <t xml:space="preserve">eyes top  </t>
  </si>
  <si>
    <t>Us doubled linen?</t>
  </si>
  <si>
    <t>use as a bag base?</t>
  </si>
  <si>
    <t>cowl of chains: very little stretch</t>
  </si>
  <si>
    <t>use together, for a cowl with Russian cross stitch</t>
  </si>
  <si>
    <t>use with 2 colors of manos allegria - aqua and silver?</t>
  </si>
  <si>
    <t>used for open lace sweater; use for cropped fuzzy top, african inspirations?</t>
  </si>
  <si>
    <t>Fuzzy shoulder shrug</t>
  </si>
  <si>
    <t>cropped, long sleved, open weave</t>
  </si>
  <si>
    <t>3.25-4.5</t>
  </si>
  <si>
    <t>25g/210m</t>
  </si>
  <si>
    <t>1900m</t>
  </si>
  <si>
    <t>mohair/polyamide</t>
  </si>
  <si>
    <t>28x36</t>
  </si>
  <si>
    <t>African expressions</t>
  </si>
  <si>
    <t>Hope brand yarn</t>
  </si>
  <si>
    <t>Delicate sweater</t>
  </si>
  <si>
    <t>open weave, long sleeve</t>
  </si>
  <si>
    <t>636-848m</t>
  </si>
  <si>
    <t>3-4</t>
  </si>
  <si>
    <t>1272m</t>
  </si>
  <si>
    <t>Delicate sarape</t>
  </si>
  <si>
    <t>very simple, open</t>
  </si>
  <si>
    <t>fuzzy shoulder shrug?</t>
  </si>
  <si>
    <t>pullover sweater</t>
  </si>
  <si>
    <t>Caribbean openwork skirt</t>
  </si>
  <si>
    <t>mid shin, needs lining or as a coverup</t>
  </si>
  <si>
    <t>5oz/256y</t>
  </si>
  <si>
    <t>1024-1280</t>
  </si>
  <si>
    <t>12x15</t>
  </si>
  <si>
    <t>double stitch twins</t>
  </si>
  <si>
    <t>red heart soft yarn</t>
  </si>
  <si>
    <t>cotton?</t>
  </si>
  <si>
    <t>Moneypenny skirt</t>
  </si>
  <si>
    <t>DK/worsted</t>
  </si>
  <si>
    <t>4-5</t>
  </si>
  <si>
    <t>8-9</t>
  </si>
  <si>
    <t>920-1035</t>
  </si>
  <si>
    <t>18x18</t>
  </si>
  <si>
    <t>drops merino extra fine</t>
  </si>
  <si>
    <t>Rosalina skirt</t>
  </si>
  <si>
    <t>mid thigh, fall weight/fans</t>
  </si>
  <si>
    <t>mid thigh, winter weight/ slanted lines</t>
  </si>
  <si>
    <t>50g/100m</t>
  </si>
  <si>
    <t>7-8</t>
  </si>
  <si>
    <t>700-800m</t>
  </si>
  <si>
    <t>fairly dense</t>
  </si>
  <si>
    <t>18dcx9</t>
  </si>
  <si>
    <t>drops muscat</t>
  </si>
  <si>
    <t>skilodge hat</t>
  </si>
  <si>
    <t>tipped up brim</t>
  </si>
  <si>
    <t>fiber arts superwash merino silk</t>
  </si>
  <si>
    <t>4oz/220y</t>
  </si>
  <si>
    <t>1</t>
  </si>
  <si>
    <t>&lt;220</t>
  </si>
  <si>
    <t>merino silk</t>
  </si>
  <si>
    <t>20hdc/10</t>
  </si>
  <si>
    <t>Expression Fiber Arts</t>
  </si>
  <si>
    <t>brown/black 121</t>
  </si>
  <si>
    <t>malabrigo silky merino, if I can find 2 skeins that complement, or 2 sebago, or maxima</t>
  </si>
  <si>
    <t>wrapped cowl</t>
  </si>
  <si>
    <t>crosses in front, rolled top</t>
  </si>
  <si>
    <t>Mizrahi craft</t>
  </si>
  <si>
    <t>4-6</t>
  </si>
  <si>
    <t>140-180</t>
  </si>
  <si>
    <t>ss elegant hat</t>
  </si>
  <si>
    <t>cloche</t>
  </si>
  <si>
    <t>6oz/315y</t>
  </si>
  <si>
    <t>210</t>
  </si>
  <si>
    <t>15x14</t>
  </si>
  <si>
    <t>caron simply soft</t>
  </si>
  <si>
    <t>4</t>
  </si>
  <si>
    <t>undercover otter squirm sock</t>
  </si>
  <si>
    <t>merino/polyamide</t>
  </si>
  <si>
    <t>21x30 blss</t>
  </si>
  <si>
    <t>100g/436y</t>
  </si>
  <si>
    <t>0.4</t>
  </si>
  <si>
    <t>175</t>
  </si>
  <si>
    <t>3.75</t>
  </si>
  <si>
    <t>openwork to the knee</t>
  </si>
  <si>
    <t>says dk, looks like fine fingering</t>
  </si>
  <si>
    <t>probably needs a little stretch to it</t>
  </si>
  <si>
    <t>semilla fino BC yarn 50g/328y NOT FOR THIS TOP THO</t>
  </si>
  <si>
    <t>sleeves with a cowl</t>
  </si>
  <si>
    <t>6</t>
  </si>
  <si>
    <t>heartland</t>
  </si>
  <si>
    <t>330-375</t>
  </si>
  <si>
    <t>12 blhdc x 9</t>
  </si>
  <si>
    <t>5oz/251y</t>
  </si>
  <si>
    <t>&lt;2</t>
  </si>
  <si>
    <t>turtle neck, oversized, contrasting stars</t>
  </si>
  <si>
    <t>16oz/812y</t>
  </si>
  <si>
    <t>1200+412</t>
  </si>
  <si>
    <t>1.5 + .5</t>
  </si>
  <si>
    <t>5</t>
  </si>
  <si>
    <t>13x8rows</t>
  </si>
  <si>
    <t>this is one size, so a smaller hook is probably fine</t>
  </si>
  <si>
    <t>curvy leaves on fall hat</t>
  </si>
  <si>
    <t>50g/210m</t>
  </si>
  <si>
    <t>3</t>
  </si>
  <si>
    <t>2.5+3</t>
  </si>
  <si>
    <t>630m</t>
  </si>
  <si>
    <t>27x20, rib pattern</t>
  </si>
  <si>
    <t>Diamond trellis basket</t>
  </si>
  <si>
    <t>sturdy solid basket</t>
  </si>
  <si>
    <t>200g of DK held tripple, worsted held double</t>
  </si>
  <si>
    <t>1/4 the weight for base</t>
  </si>
  <si>
    <t>7oz</t>
  </si>
  <si>
    <t>175y =~ 3.85  diamond trellis basket</t>
  </si>
  <si>
    <t>175y =~ 3.85   diamond trellis basket</t>
  </si>
  <si>
    <t>270+135</t>
  </si>
  <si>
    <t>openwork skirt? Aestes tank?</t>
  </si>
  <si>
    <t>1640m/1749y</t>
  </si>
  <si>
    <t>something open, not a primary garment, because of pilling, could even put heavier manos as an accent?</t>
  </si>
  <si>
    <t>worsted, stiff</t>
  </si>
  <si>
    <t>purple tweed?</t>
  </si>
  <si>
    <t>Current</t>
  </si>
  <si>
    <t>Done</t>
  </si>
  <si>
    <t>On deck</t>
  </si>
  <si>
    <t>Beaded Dragonfly Wrap</t>
  </si>
  <si>
    <t>lace gradient</t>
  </si>
  <si>
    <t>3.5</t>
  </si>
  <si>
    <t>225g/1094g</t>
  </si>
  <si>
    <t>1100</t>
  </si>
  <si>
    <t>lacy</t>
  </si>
  <si>
    <t xml:space="preserve">Scheepjes  </t>
  </si>
  <si>
    <t xml:space="preserve">was caplet, didn't like the initial chain, top of eyes sweather </t>
  </si>
  <si>
    <t>Will use Ella Rae cosy alpaca</t>
  </si>
  <si>
    <t>picking flowerse sweater</t>
  </si>
  <si>
    <t>Mother of dragons bag</t>
  </si>
  <si>
    <t>ribbon</t>
  </si>
  <si>
    <t>Blue Sky Woolstok</t>
  </si>
  <si>
    <t>wool NOT SUPERWASH</t>
  </si>
  <si>
    <t>Grey harbor</t>
  </si>
  <si>
    <t>20 on #7</t>
  </si>
  <si>
    <t>150g</t>
  </si>
  <si>
    <t>370y</t>
  </si>
  <si>
    <t>760m/830y</t>
  </si>
  <si>
    <t>1000y = 914m</t>
  </si>
  <si>
    <t>Moroccan design</t>
  </si>
  <si>
    <t>2.5</t>
  </si>
  <si>
    <t>1+2</t>
  </si>
  <si>
    <t>28x22</t>
  </si>
  <si>
    <t>?</t>
  </si>
  <si>
    <t>cascade ultra pima DK</t>
  </si>
  <si>
    <t xml:space="preserve">tapestry bag </t>
  </si>
  <si>
    <t>Tapestry bag, with 2 hunter skeins</t>
  </si>
  <si>
    <t>drops pattern</t>
  </si>
  <si>
    <t>try this in rowan purple tweed</t>
  </si>
  <si>
    <t>heavy worsted</t>
  </si>
  <si>
    <t>Tricolore scialle</t>
  </si>
  <si>
    <t>my old friend ombre?</t>
  </si>
  <si>
    <t>Cobblestone cowl!</t>
  </si>
  <si>
    <t>Elnora Cowl</t>
  </si>
  <si>
    <t>Calin Shirt</t>
  </si>
  <si>
    <t>flowy, shortbutterfly sleeves</t>
  </si>
  <si>
    <t>Through the leaves</t>
  </si>
  <si>
    <t>2 color wrap, leaf openwork</t>
  </si>
  <si>
    <t>Cobblestone Cowl</t>
  </si>
  <si>
    <t>Fine mesh with fat yarn in it</t>
  </si>
  <si>
    <t>Tote bag for ribbon</t>
  </si>
  <si>
    <t>cylindrical</t>
  </si>
  <si>
    <t>Rustic Cowl with Roses</t>
  </si>
  <si>
    <t>Large, dense, 1 color</t>
  </si>
  <si>
    <t>Light in the woods</t>
  </si>
  <si>
    <t>Texas Sage wrap</t>
  </si>
  <si>
    <t>Tricolore</t>
  </si>
  <si>
    <t>Finding your way</t>
  </si>
  <si>
    <t>mosaic cowl</t>
  </si>
  <si>
    <t>curved, 3 tone wrap</t>
  </si>
  <si>
    <t>lacy and geometric</t>
  </si>
  <si>
    <t>Gradually cowl</t>
  </si>
  <si>
    <t>Aaku cowl</t>
  </si>
  <si>
    <t>diamond leaves</t>
  </si>
  <si>
    <t>2 tone mohair</t>
  </si>
  <si>
    <t>Ombre backpack</t>
  </si>
  <si>
    <t>Sinched sack</t>
  </si>
  <si>
    <t>open trellis cowl</t>
  </si>
  <si>
    <t>Mode Knit Flow</t>
  </si>
  <si>
    <t>1?</t>
  </si>
  <si>
    <t>variable</t>
  </si>
  <si>
    <t xml:space="preserve">wool </t>
  </si>
  <si>
    <t>looks very fine</t>
  </si>
  <si>
    <t>32sc on 3.75</t>
  </si>
  <si>
    <t>eash</t>
  </si>
  <si>
    <t>Modesitt</t>
  </si>
  <si>
    <t>150g/560m</t>
  </si>
  <si>
    <t>19dc/10</t>
  </si>
  <si>
    <t>drapy</t>
  </si>
  <si>
    <t>Biancha mueller</t>
  </si>
  <si>
    <t>2.75</t>
  </si>
  <si>
    <t xml:space="preserve">1000m </t>
  </si>
  <si>
    <t>2 colors</t>
  </si>
  <si>
    <t>24dcx14</t>
  </si>
  <si>
    <t>Prairie Fox</t>
  </si>
  <si>
    <t>fingering/heavy</t>
  </si>
  <si>
    <t>100g/75g respectively</t>
  </si>
  <si>
    <t>malabrigo caracol</t>
  </si>
  <si>
    <t>might want more of thinner yarn, to be more open</t>
  </si>
  <si>
    <t>Kaye Adolphson</t>
  </si>
  <si>
    <t>none</t>
  </si>
  <si>
    <t>5.5</t>
  </si>
  <si>
    <t>10x12</t>
  </si>
  <si>
    <t>Darn good yarn</t>
  </si>
  <si>
    <t>1 chiffon ribbon ombre pack</t>
  </si>
  <si>
    <t>silk/poly</t>
  </si>
  <si>
    <t>320?</t>
  </si>
  <si>
    <t>15dc</t>
  </si>
  <si>
    <t>250g</t>
  </si>
  <si>
    <t>Faima Othman</t>
  </si>
  <si>
    <t>Newin Designs</t>
  </si>
  <si>
    <t>16dcx8</t>
  </si>
  <si>
    <t>Lana Grossa Linea Pura Solo Lino</t>
  </si>
  <si>
    <t>490</t>
  </si>
  <si>
    <t>/164</t>
  </si>
  <si>
    <t>2</t>
  </si>
  <si>
    <t>458x2, 916y</t>
  </si>
  <si>
    <t>silk mohair</t>
  </si>
  <si>
    <t>5/15mm</t>
  </si>
  <si>
    <t>25g/229y</t>
  </si>
  <si>
    <t>Erin Chastin-Harris</t>
  </si>
  <si>
    <t>Rowan Kidsilk Haze</t>
  </si>
  <si>
    <t>7scx7 on 15mm</t>
  </si>
  <si>
    <t>will use Kria lace</t>
  </si>
  <si>
    <t>weighs 88g. Light in the woods?</t>
  </si>
  <si>
    <t>French market bag, Light in the woods?</t>
  </si>
  <si>
    <t>24</t>
  </si>
  <si>
    <t>somewhat open</t>
  </si>
  <si>
    <t>Taylor Tengelsen</t>
  </si>
  <si>
    <t>Miss babs "yet"</t>
  </si>
  <si>
    <t>heavy lace</t>
  </si>
  <si>
    <t>65g/400y</t>
  </si>
  <si>
    <t>1600</t>
  </si>
  <si>
    <t>Lilinette Crochet</t>
  </si>
  <si>
    <t>wool/acrylic</t>
  </si>
  <si>
    <t>contr. = sport</t>
  </si>
  <si>
    <t>17x15 pre block</t>
  </si>
  <si>
    <t>she used 14y/5g each of 14 sport weight yarns for the inner section</t>
  </si>
  <si>
    <t>Phildar Partner 3.5</t>
  </si>
  <si>
    <t>50g/111m main col</t>
  </si>
  <si>
    <t>164y + 164y</t>
  </si>
  <si>
    <t>1.1 of main</t>
  </si>
  <si>
    <t>outside solid, inside malabrigo gradient of leftovers?</t>
  </si>
  <si>
    <t>Japanese bags, trinity tote!</t>
  </si>
  <si>
    <t>circular fingerless</t>
  </si>
  <si>
    <t>40-45g</t>
  </si>
  <si>
    <t>hard</t>
  </si>
  <si>
    <t>knitting and so on</t>
  </si>
  <si>
    <t>Malabrigo destash!!</t>
  </si>
  <si>
    <t>Kreisel gloves</t>
  </si>
  <si>
    <t>cotton, milinery wire</t>
  </si>
  <si>
    <t>Simply Southern</t>
  </si>
  <si>
    <t>Sinfonia mercerized cotton</t>
  </si>
  <si>
    <t>4.24</t>
  </si>
  <si>
    <t>20hdcx14</t>
  </si>
  <si>
    <t>440</t>
  </si>
  <si>
    <t>Kathy Lashley</t>
  </si>
  <si>
    <t>Sail away shawl</t>
  </si>
  <si>
    <t>Starling lace cowl</t>
  </si>
  <si>
    <t>Moraine lake cowl</t>
  </si>
  <si>
    <t>ribbed, dense</t>
  </si>
  <si>
    <t>Knotions</t>
  </si>
  <si>
    <t>wool/nylon</t>
  </si>
  <si>
    <t>120g/444y</t>
  </si>
  <si>
    <t>20g x6</t>
  </si>
  <si>
    <t>Malabrigo mechita</t>
  </si>
  <si>
    <t>840</t>
  </si>
  <si>
    <t>open sailboat triangles</t>
  </si>
  <si>
    <t>3.5oz/420y</t>
  </si>
  <si>
    <t>26-30</t>
  </si>
  <si>
    <t>yarns at border leather</t>
  </si>
  <si>
    <t>open lacy pattern</t>
  </si>
  <si>
    <t>kidsilk</t>
  </si>
  <si>
    <t>Nurturing fibers</t>
  </si>
  <si>
    <t>dense mosaic</t>
  </si>
  <si>
    <t>250+200</t>
  </si>
  <si>
    <t>24scx24sc</t>
  </si>
  <si>
    <t>Blue Sky Metalico</t>
  </si>
  <si>
    <t>20-24 on 3.25</t>
  </si>
  <si>
    <t>50/134</t>
  </si>
  <si>
    <t>/147</t>
  </si>
  <si>
    <t>Use with deep water silk cloud, tunisian samploer</t>
  </si>
  <si>
    <t>1 skein much darker, rose cowl?</t>
  </si>
  <si>
    <t>another shopping bag, or an octopus</t>
  </si>
  <si>
    <t>may pill easily, use with blue sky metalico?</t>
  </si>
  <si>
    <t>used for Bruni top, not color fast</t>
  </si>
  <si>
    <t>Having to alter pattern so that it tapers enough</t>
  </si>
  <si>
    <t>will use sari silk ribbon</t>
  </si>
  <si>
    <t>will do this in purple acrylics!</t>
  </si>
  <si>
    <t>grasmere? Or light blue worsted?</t>
  </si>
  <si>
    <t>green linen</t>
  </si>
  <si>
    <t>grasmere doubled?</t>
  </si>
  <si>
    <t xml:space="preserve">Multi stranded with little twist. 4mm Light in the woods </t>
  </si>
  <si>
    <t>remnants as ties for boucle scarf</t>
  </si>
  <si>
    <t>117g</t>
  </si>
  <si>
    <t>used for large knit look cowl, 32g</t>
  </si>
  <si>
    <t>Unknown mohair</t>
  </si>
  <si>
    <t xml:space="preserve">&lt;1 </t>
  </si>
  <si>
    <t>mohar/?</t>
  </si>
  <si>
    <t>sky blue</t>
  </si>
  <si>
    <t>dense teal cowl</t>
  </si>
  <si>
    <t>reflecting pool</t>
  </si>
  <si>
    <t>34g/71.4y</t>
  </si>
  <si>
    <t>8g/105.6y</t>
  </si>
  <si>
    <t>7g/92.4y</t>
  </si>
  <si>
    <t>65g/78y</t>
  </si>
  <si>
    <t>23g/102.4y</t>
  </si>
  <si>
    <t>309y</t>
  </si>
  <si>
    <t>used stats for shibui silk cloud</t>
  </si>
  <si>
    <t>linen, twig? Vine? Used Daiso grey purple, and green cotton</t>
  </si>
  <si>
    <t>could use for 2 tone hat Simply Southern (held tripple), or leaves cascade sweater?</t>
  </si>
  <si>
    <t>Beaded dragonfly wrap, cut apart and used doubled</t>
  </si>
  <si>
    <t>doubled for chasing clouds, but this used very little</t>
  </si>
  <si>
    <t xml:space="preserve">use for crop sweater? Or 2 tone leaves wrap sweater? </t>
  </si>
  <si>
    <t>not tote bag, pulls it too tight, can't see the colors</t>
  </si>
  <si>
    <t xml:space="preserve">Manos maxima or Katia concept? Using 2 tone shepherd's wool purples, and orangy/sable </t>
  </si>
  <si>
    <t>ORDERED LINEN: blue or greens?</t>
  </si>
  <si>
    <t>Kalinda throw; not for chasing clouds. Have stripped out the dark blue from the baby blue, but even the rest of it is too dark for this sweater</t>
  </si>
  <si>
    <t>3(.75)</t>
  </si>
  <si>
    <t>Used Bendigo plum tweed, 2.5 skeins</t>
  </si>
  <si>
    <t>5 ply gradient, but with each color section separated and doubled. Didn't like it with gray throughout. Added a 10 ply gradient: light green, gray, lilac, dark lilac, aubergine</t>
  </si>
  <si>
    <t>didn't go with other two</t>
  </si>
  <si>
    <t>1(.25)</t>
  </si>
  <si>
    <t>2(0.4)</t>
  </si>
  <si>
    <t>green/gray/lilac/dark lilac/aubergine</t>
  </si>
  <si>
    <t>150/450</t>
  </si>
  <si>
    <t>Custom gradient, added to dragonfly wrap</t>
  </si>
  <si>
    <t>100g/226y</t>
  </si>
  <si>
    <t>546</t>
  </si>
  <si>
    <t>light</t>
  </si>
  <si>
    <t>20x12rows dc</t>
  </si>
  <si>
    <t>Madelinetosh Merino</t>
  </si>
  <si>
    <t>Autumn Skies cowl</t>
  </si>
  <si>
    <t>multicolor fun texture</t>
  </si>
  <si>
    <t>4.5</t>
  </si>
  <si>
    <t>720m for infinity</t>
  </si>
  <si>
    <t>Hooked on sunshine</t>
  </si>
  <si>
    <t>Ended up using light/dark brown and light/dark purple Sebago skeins, 3.75mm</t>
  </si>
  <si>
    <t>760m</t>
  </si>
  <si>
    <t>(2)1</t>
  </si>
  <si>
    <t>900m (450 as used)</t>
  </si>
  <si>
    <t>Bright turquoise</t>
  </si>
  <si>
    <t>Dusty lavendar</t>
  </si>
  <si>
    <t>raspberry</t>
  </si>
  <si>
    <t>Deep grape/blue flecks</t>
  </si>
  <si>
    <t>probably acrylic</t>
  </si>
  <si>
    <t>Embossed leaves scarflette</t>
  </si>
  <si>
    <t>Highly textured/short/wide</t>
  </si>
  <si>
    <t>2 fine</t>
  </si>
  <si>
    <t>cocoon fairy cat bed</t>
  </si>
  <si>
    <t>Embossed garden bag</t>
  </si>
  <si>
    <t>Kalinda blanket</t>
  </si>
  <si>
    <t>Lacy belted top</t>
  </si>
  <si>
    <t>Lacy cowl</t>
  </si>
  <si>
    <t>one overlap with laceish edge</t>
  </si>
  <si>
    <t>open flowers in back, sleeveless</t>
  </si>
  <si>
    <t>Like a mermaid</t>
  </si>
  <si>
    <t>maxi skirt</t>
  </si>
  <si>
    <t>Picking flowers sweater</t>
  </si>
  <si>
    <t>Slanted skirt</t>
  </si>
  <si>
    <t>Elegant hat</t>
  </si>
  <si>
    <t>Trinity tote</t>
  </si>
  <si>
    <t>Tunisian lizard ridge</t>
  </si>
  <si>
    <t>Waves scarf</t>
  </si>
  <si>
    <t>Added a mottled purple as the 3rd color</t>
  </si>
  <si>
    <t>Tunisian? Want to avoid frayed look</t>
  </si>
  <si>
    <t>opal</t>
  </si>
  <si>
    <t>gold dust</t>
  </si>
  <si>
    <t>Very red and green in sunlight</t>
  </si>
  <si>
    <t>3rd color in tricolore, used in Jan's garden grows hat</t>
  </si>
  <si>
    <t>garden grows</t>
  </si>
  <si>
    <t>Top down sweater, any left put with silky merino</t>
  </si>
  <si>
    <t>Stormy Sky</t>
  </si>
  <si>
    <t>Used with Muench cleo, tunisian sampler scarf</t>
  </si>
  <si>
    <t>Unknown multi blue</t>
  </si>
  <si>
    <t>multi blue</t>
  </si>
  <si>
    <t>Runner up for Ruby's aunt's gloves - used &lt;1/2 on garden grows hat</t>
  </si>
  <si>
    <t>set aside to use with katia concept</t>
  </si>
  <si>
    <t>2+</t>
  </si>
  <si>
    <t>Purl Soho Linen Quill</t>
  </si>
  <si>
    <t>wool/alpaca/linen</t>
  </si>
  <si>
    <t>vintage celadon 1587</t>
  </si>
  <si>
    <t>26-30 stitches</t>
  </si>
  <si>
    <t>Purple smoke 1600</t>
  </si>
  <si>
    <t>SEBAGO STASH</t>
  </si>
  <si>
    <t>~2</t>
  </si>
  <si>
    <t>Cadet blue 647</t>
  </si>
  <si>
    <t>&lt;146</t>
  </si>
  <si>
    <t>&lt;292</t>
  </si>
  <si>
    <t>silver sage 1396(light duck egg)</t>
  </si>
  <si>
    <t>Wild lily artisan fibers Jennifer Guyor</t>
  </si>
  <si>
    <t>custom blues blacks</t>
  </si>
  <si>
    <t>SW merino/1ply</t>
  </si>
  <si>
    <t>115g</t>
  </si>
  <si>
    <t>merino thick/thin</t>
  </si>
  <si>
    <t>custom merlot/greens/blues</t>
  </si>
  <si>
    <t>Used on pigeon wing, put rest with the mink/copper colored Fibre Co Tundra</t>
  </si>
  <si>
    <t>Jan's garden grows</t>
  </si>
  <si>
    <t>&lt;1, had 2</t>
  </si>
  <si>
    <t>Used multi strand linen, coppery red</t>
  </si>
  <si>
    <t>USE MALABRIGO SOCK, 2 colors</t>
  </si>
  <si>
    <t>possibly archangel, use in two color leaf top</t>
  </si>
  <si>
    <t>use with the more blue piedras</t>
  </si>
  <si>
    <t>one with stormy sky, one with doubled gold dust metalico</t>
  </si>
  <si>
    <t>Adele's Mohair</t>
  </si>
  <si>
    <t>kid mohair/linen/bamboo</t>
  </si>
  <si>
    <t>Denim</t>
  </si>
  <si>
    <t>25/110</t>
  </si>
  <si>
    <t>880m</t>
  </si>
  <si>
    <t>Dye House Yarn</t>
  </si>
  <si>
    <t>merino/linen</t>
  </si>
  <si>
    <t>Lone Star 3 (teal)</t>
  </si>
  <si>
    <t>100/360</t>
  </si>
  <si>
    <t>Garden Gate (greens/blues)</t>
  </si>
  <si>
    <t>720 (1440)m</t>
  </si>
  <si>
    <t>720 (1400)m</t>
  </si>
  <si>
    <t>bought to go with garden gate</t>
  </si>
  <si>
    <t>plan to use with Lone Start 3</t>
  </si>
  <si>
    <t>Winter waves hat, used just over 1 skein</t>
  </si>
  <si>
    <t>with silky merino? Yess, will be lovely with the plum/gold silky merino</t>
  </si>
  <si>
    <t>Don't like this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</si>
</sst>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1" fontId="0" fillId="0" borderId="0" xfId="0" applyNumberFormat="1"/>
    <xf numFmtId="0" fontId="0" fillId="0" borderId="0" xfId="0" quotePrefix="1"/>
    <xf numFmtId="17" fontId="0" fillId="0" borderId="0" xfId="0" applyNumberFormat="1"/>
    <xf numFmtId="0" fontId="0" fillId="2" borderId="0" xfId="0" applyFill="1"/>
    <xf numFmtId="0" fontId="0" fillId="4" borderId="0" xfId="0" applyFill="1"/>
    <xf numFmtId="0" fontId="2" fillId="0" borderId="0" xfId="0" applyFont="1"/>
    <xf numFmtId="1" fontId="0" fillId="4" borderId="0" xfId="0" applyNumberFormat="1" applyFill="1"/>
    <xf numFmtId="0" fontId="0" fillId="0" borderId="0" xfId="0" applyFont="1"/>
    <xf numFmtId="0" fontId="0" fillId="4" borderId="0" xfId="0" applyFont="1" applyFill="1"/>
    <xf numFmtId="0" fontId="0" fillId="4" borderId="0" xfId="0" quotePrefix="1" applyFill="1"/>
    <xf numFmtId="49" fontId="0" fillId="0" borderId="0" xfId="0" applyNumberFormat="1"/>
    <xf numFmtId="49" fontId="0" fillId="4" borderId="0" xfId="0" applyNumberFormat="1" applyFill="1"/>
    <xf numFmtId="49" fontId="0" fillId="5" borderId="0" xfId="0" applyNumberFormat="1" applyFill="1"/>
    <xf numFmtId="49" fontId="0" fillId="3" borderId="0" xfId="0" applyNumberFormat="1" applyFill="1"/>
    <xf numFmtId="49" fontId="1" fillId="0" borderId="0" xfId="1" applyNumberFormat="1"/>
    <xf numFmtId="17" fontId="0" fillId="4" borderId="0" xfId="0" applyNumberFormat="1" applyFill="1"/>
    <xf numFmtId="0" fontId="0" fillId="6" borderId="0" xfId="0" applyFill="1"/>
    <xf numFmtId="1" fontId="0" fillId="6" borderId="0" xfId="0" applyNumberFormat="1" applyFill="1"/>
    <xf numFmtId="49" fontId="0" fillId="7" borderId="0" xfId="0" applyNumberFormat="1" applyFill="1"/>
    <xf numFmtId="49" fontId="0" fillId="0" borderId="0" xfId="0" applyNumberFormat="1" applyFill="1"/>
    <xf numFmtId="0" fontId="0" fillId="0" borderId="0" xfId="0" applyFill="1"/>
    <xf numFmtId="1" fontId="0" fillId="0" borderId="0" xfId="0" applyNumberFormat="1" applyFill="1"/>
    <xf numFmtId="0" fontId="0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yarnandchai.com/mosaicbucketba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8F37-770B-48BB-8124-397EA025AD48}">
  <dimension ref="A1:L137"/>
  <sheetViews>
    <sheetView tabSelected="1" workbookViewId="0">
      <pane ySplit="1" topLeftCell="A76" activePane="bottomLeft" state="frozen"/>
      <selection pane="bottomLeft" activeCell="E96" sqref="E96"/>
    </sheetView>
  </sheetViews>
  <sheetFormatPr defaultRowHeight="14.25" x14ac:dyDescent="0.45"/>
  <cols>
    <col min="1" max="1" width="20.53125" customWidth="1"/>
    <col min="2" max="2" width="15.86328125" customWidth="1"/>
    <col min="3" max="3" width="6.73046875" customWidth="1"/>
    <col min="4" max="9" width="15.86328125" customWidth="1"/>
    <col min="10" max="10" width="37.53125" customWidth="1"/>
  </cols>
  <sheetData>
    <row r="1" spans="1:10" x14ac:dyDescent="0.45">
      <c r="A1" t="s">
        <v>625</v>
      </c>
      <c r="B1" t="s">
        <v>12</v>
      </c>
      <c r="C1" t="s">
        <v>11</v>
      </c>
      <c r="E1" t="s">
        <v>586</v>
      </c>
      <c r="F1" t="s">
        <v>2</v>
      </c>
      <c r="G1" t="s">
        <v>5</v>
      </c>
      <c r="H1" t="s">
        <v>7</v>
      </c>
      <c r="I1" t="s">
        <v>17</v>
      </c>
      <c r="J1" t="s">
        <v>8</v>
      </c>
    </row>
    <row r="2" spans="1:10" x14ac:dyDescent="0.45">
      <c r="A2" s="6" t="s">
        <v>624</v>
      </c>
    </row>
    <row r="3" spans="1:10" s="5" customFormat="1" x14ac:dyDescent="0.45">
      <c r="A3" s="9" t="s">
        <v>1010</v>
      </c>
      <c r="B3" s="5" t="s">
        <v>1028</v>
      </c>
      <c r="C3" s="5">
        <v>4</v>
      </c>
      <c r="D3" s="5" t="s">
        <v>1011</v>
      </c>
      <c r="E3" s="5" t="s">
        <v>1012</v>
      </c>
      <c r="F3" s="5" t="s">
        <v>1013</v>
      </c>
      <c r="G3" s="5" t="s">
        <v>1014</v>
      </c>
      <c r="H3" s="5" t="s">
        <v>1015</v>
      </c>
      <c r="I3" s="5">
        <v>1480</v>
      </c>
      <c r="J3" s="5" t="s">
        <v>749</v>
      </c>
    </row>
    <row r="4" spans="1:10" s="5" customFormat="1" x14ac:dyDescent="0.45">
      <c r="A4" s="9" t="s">
        <v>835</v>
      </c>
      <c r="B4" s="5" t="s">
        <v>836</v>
      </c>
      <c r="C4" s="5">
        <v>3</v>
      </c>
      <c r="D4" s="5" t="s">
        <v>837</v>
      </c>
      <c r="E4" s="5" t="s">
        <v>838</v>
      </c>
      <c r="H4" s="5" t="s">
        <v>840</v>
      </c>
      <c r="I4" s="5">
        <f>3*660</f>
        <v>1980</v>
      </c>
      <c r="J4" s="5" t="s">
        <v>841</v>
      </c>
    </row>
    <row r="5" spans="1:10" x14ac:dyDescent="0.45">
      <c r="A5" s="8" t="s">
        <v>835</v>
      </c>
      <c r="B5" t="s">
        <v>836</v>
      </c>
      <c r="C5">
        <v>8</v>
      </c>
      <c r="D5" t="s">
        <v>837</v>
      </c>
      <c r="E5" t="s">
        <v>867</v>
      </c>
      <c r="H5" t="s">
        <v>840</v>
      </c>
      <c r="I5">
        <f>8*660</f>
        <v>5280</v>
      </c>
      <c r="J5" t="s">
        <v>1189</v>
      </c>
    </row>
    <row r="6" spans="1:10" s="5" customFormat="1" x14ac:dyDescent="0.45">
      <c r="A6" s="9" t="s">
        <v>835</v>
      </c>
      <c r="B6" s="5" t="s">
        <v>836</v>
      </c>
      <c r="C6" s="5">
        <v>2</v>
      </c>
      <c r="D6" s="5" t="s">
        <v>837</v>
      </c>
      <c r="E6" s="5" t="s">
        <v>839</v>
      </c>
      <c r="H6" s="5" t="s">
        <v>842</v>
      </c>
      <c r="I6" s="5">
        <v>1320</v>
      </c>
      <c r="J6" s="5" t="s">
        <v>843</v>
      </c>
    </row>
    <row r="7" spans="1:10" x14ac:dyDescent="0.45">
      <c r="A7" t="s">
        <v>9</v>
      </c>
      <c r="B7" t="s">
        <v>14</v>
      </c>
      <c r="C7">
        <v>5</v>
      </c>
      <c r="D7" t="s">
        <v>10</v>
      </c>
      <c r="E7" t="s">
        <v>15</v>
      </c>
      <c r="F7">
        <v>32</v>
      </c>
      <c r="H7" t="s">
        <v>16</v>
      </c>
      <c r="I7">
        <f>440*5</f>
        <v>2200</v>
      </c>
      <c r="J7" t="s">
        <v>866</v>
      </c>
    </row>
    <row r="8" spans="1:10" s="5" customFormat="1" x14ac:dyDescent="0.45">
      <c r="A8" s="5" t="s">
        <v>19</v>
      </c>
      <c r="B8" s="5" t="s">
        <v>20</v>
      </c>
      <c r="C8" s="5">
        <v>4</v>
      </c>
      <c r="D8" s="5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5" t="s">
        <v>18</v>
      </c>
    </row>
    <row r="9" spans="1:10" s="5" customFormat="1" x14ac:dyDescent="0.45">
      <c r="A9" s="5" t="s">
        <v>27</v>
      </c>
      <c r="B9" s="5" t="s">
        <v>28</v>
      </c>
      <c r="C9" s="5">
        <v>5</v>
      </c>
      <c r="D9" s="5" t="s">
        <v>29</v>
      </c>
      <c r="E9" s="5" t="s">
        <v>22</v>
      </c>
      <c r="F9" s="5" t="s">
        <v>30</v>
      </c>
      <c r="G9" s="5" t="s">
        <v>31</v>
      </c>
      <c r="H9" s="5" t="s">
        <v>32</v>
      </c>
      <c r="I9" s="5" t="s">
        <v>33</v>
      </c>
    </row>
    <row r="10" spans="1:10" s="5" customFormat="1" x14ac:dyDescent="0.45">
      <c r="A10" s="5" t="s">
        <v>708</v>
      </c>
      <c r="B10" s="5" t="s">
        <v>83</v>
      </c>
      <c r="C10" s="5" t="s">
        <v>709</v>
      </c>
      <c r="D10" s="5" t="s">
        <v>710</v>
      </c>
      <c r="E10" s="5" t="s">
        <v>711</v>
      </c>
      <c r="F10" s="5" t="s">
        <v>712</v>
      </c>
      <c r="G10" s="5" t="s">
        <v>713</v>
      </c>
      <c r="H10" s="5" t="s">
        <v>714</v>
      </c>
      <c r="I10" s="17" t="s">
        <v>715</v>
      </c>
      <c r="J10" s="5" t="s">
        <v>885</v>
      </c>
    </row>
    <row r="11" spans="1:10" s="5" customFormat="1" x14ac:dyDescent="0.45">
      <c r="A11" s="5" t="s">
        <v>716</v>
      </c>
      <c r="B11" s="5" t="s">
        <v>83</v>
      </c>
      <c r="C11" s="5">
        <v>1</v>
      </c>
      <c r="D11" s="5" t="s">
        <v>10</v>
      </c>
      <c r="E11" s="5" t="s">
        <v>717</v>
      </c>
      <c r="F11" s="10" t="s">
        <v>718</v>
      </c>
      <c r="G11" s="5">
        <v>113</v>
      </c>
      <c r="H11" s="5" t="s">
        <v>719</v>
      </c>
      <c r="I11" s="5">
        <v>825</v>
      </c>
      <c r="J11" s="5" t="s">
        <v>720</v>
      </c>
    </row>
    <row r="12" spans="1:10" x14ac:dyDescent="0.45">
      <c r="A12" t="s">
        <v>669</v>
      </c>
      <c r="B12" t="s">
        <v>20</v>
      </c>
      <c r="C12">
        <v>2</v>
      </c>
      <c r="D12" t="s">
        <v>664</v>
      </c>
      <c r="E12" t="s">
        <v>670</v>
      </c>
      <c r="G12" t="s">
        <v>671</v>
      </c>
      <c r="I12" t="s">
        <v>991</v>
      </c>
      <c r="J12" t="s">
        <v>672</v>
      </c>
    </row>
    <row r="13" spans="1:10" s="21" customFormat="1" x14ac:dyDescent="0.45">
      <c r="A13" s="21" t="s">
        <v>870</v>
      </c>
      <c r="B13" s="21" t="s">
        <v>14</v>
      </c>
      <c r="C13" s="21">
        <v>1</v>
      </c>
      <c r="D13" s="21" t="s">
        <v>664</v>
      </c>
      <c r="E13" s="21" t="s">
        <v>871</v>
      </c>
      <c r="H13" s="21">
        <v>900</v>
      </c>
      <c r="I13" s="21">
        <v>900</v>
      </c>
      <c r="J13" s="21" t="s">
        <v>1196</v>
      </c>
    </row>
    <row r="14" spans="1:10" s="21" customFormat="1" x14ac:dyDescent="0.45">
      <c r="A14" s="21" t="s">
        <v>663</v>
      </c>
      <c r="B14" s="21" t="s">
        <v>83</v>
      </c>
      <c r="C14" s="21">
        <v>1.5</v>
      </c>
      <c r="D14" s="21" t="s">
        <v>664</v>
      </c>
      <c r="E14" s="21" t="s">
        <v>667</v>
      </c>
      <c r="G14" s="21" t="s">
        <v>668</v>
      </c>
      <c r="J14" s="21" t="s">
        <v>1191</v>
      </c>
    </row>
    <row r="15" spans="1:10" s="5" customFormat="1" x14ac:dyDescent="0.45">
      <c r="A15" s="5" t="s">
        <v>34</v>
      </c>
      <c r="B15" s="5" t="s">
        <v>37</v>
      </c>
      <c r="C15" s="5">
        <v>8</v>
      </c>
      <c r="D15" s="5" t="s">
        <v>38</v>
      </c>
      <c r="E15" s="5" t="s">
        <v>36</v>
      </c>
      <c r="F15" s="5" t="s">
        <v>39</v>
      </c>
      <c r="G15" s="5" t="s">
        <v>35</v>
      </c>
      <c r="I15" s="5" t="s">
        <v>1016</v>
      </c>
      <c r="J15" s="5" t="s">
        <v>912</v>
      </c>
    </row>
    <row r="16" spans="1:10" s="5" customFormat="1" x14ac:dyDescent="0.45">
      <c r="A16" s="5" t="s">
        <v>855</v>
      </c>
      <c r="B16" s="5" t="s">
        <v>14</v>
      </c>
      <c r="C16" s="5">
        <v>2</v>
      </c>
      <c r="D16" s="5" t="s">
        <v>856</v>
      </c>
      <c r="E16" s="5" t="s">
        <v>861</v>
      </c>
      <c r="F16" s="5" t="s">
        <v>858</v>
      </c>
      <c r="G16" s="5" t="s">
        <v>859</v>
      </c>
      <c r="H16" s="5" t="s">
        <v>860</v>
      </c>
      <c r="I16" s="5">
        <f>180*2</f>
        <v>360</v>
      </c>
      <c r="J16" s="5" t="s">
        <v>1007</v>
      </c>
    </row>
    <row r="17" spans="1:10" s="5" customFormat="1" x14ac:dyDescent="0.45">
      <c r="A17" s="5" t="s">
        <v>855</v>
      </c>
      <c r="B17" s="5" t="s">
        <v>14</v>
      </c>
      <c r="C17" s="5">
        <v>9</v>
      </c>
      <c r="D17" s="5" t="s">
        <v>856</v>
      </c>
      <c r="E17" s="5" t="s">
        <v>857</v>
      </c>
      <c r="F17" s="5" t="s">
        <v>858</v>
      </c>
      <c r="G17" s="5" t="s">
        <v>859</v>
      </c>
      <c r="H17" s="5" t="s">
        <v>860</v>
      </c>
      <c r="I17" s="5">
        <f>180*9</f>
        <v>1620</v>
      </c>
      <c r="J17" s="5" t="s">
        <v>1007</v>
      </c>
    </row>
    <row r="18" spans="1:10" s="5" customFormat="1" x14ac:dyDescent="0.45">
      <c r="A18" s="5" t="s">
        <v>40</v>
      </c>
      <c r="B18" s="5" t="s">
        <v>13</v>
      </c>
      <c r="C18" s="5" t="s">
        <v>41</v>
      </c>
      <c r="D18" s="5" t="s">
        <v>42</v>
      </c>
      <c r="E18" s="5" t="s">
        <v>43</v>
      </c>
      <c r="F18" s="5" t="s">
        <v>44</v>
      </c>
      <c r="G18" s="5" t="s">
        <v>45</v>
      </c>
      <c r="H18" s="5" t="s">
        <v>46</v>
      </c>
      <c r="I18" s="5">
        <f>5*135</f>
        <v>675</v>
      </c>
      <c r="J18" s="5" t="s">
        <v>47</v>
      </c>
    </row>
    <row r="19" spans="1:10" s="5" customFormat="1" x14ac:dyDescent="0.45">
      <c r="A19" s="5" t="s">
        <v>48</v>
      </c>
      <c r="B19" s="5" t="s">
        <v>13</v>
      </c>
      <c r="C19" s="5">
        <v>2</v>
      </c>
      <c r="D19" s="5" t="s">
        <v>49</v>
      </c>
      <c r="E19" s="5" t="s">
        <v>50</v>
      </c>
      <c r="F19" s="5" t="s">
        <v>51</v>
      </c>
      <c r="G19" s="5" t="s">
        <v>52</v>
      </c>
      <c r="H19" s="5" t="s">
        <v>53</v>
      </c>
      <c r="I19" s="5">
        <v>320</v>
      </c>
      <c r="J19" s="5" t="s">
        <v>677</v>
      </c>
    </row>
    <row r="20" spans="1:10" s="5" customFormat="1" x14ac:dyDescent="0.45">
      <c r="A20" s="5" t="s">
        <v>845</v>
      </c>
      <c r="B20" s="5" t="s">
        <v>184</v>
      </c>
      <c r="C20" s="5">
        <v>8</v>
      </c>
      <c r="D20" s="5" t="s">
        <v>346</v>
      </c>
      <c r="E20" s="5" t="s">
        <v>846</v>
      </c>
      <c r="F20" s="5" t="s">
        <v>847</v>
      </c>
      <c r="G20" s="5" t="s">
        <v>848</v>
      </c>
      <c r="H20" s="5" t="s">
        <v>849</v>
      </c>
      <c r="I20" s="5">
        <v>1360</v>
      </c>
      <c r="J20" s="5" t="s">
        <v>1122</v>
      </c>
    </row>
    <row r="21" spans="1:10" s="5" customFormat="1" x14ac:dyDescent="0.45">
      <c r="A21" s="5" t="s">
        <v>57</v>
      </c>
      <c r="B21" s="5">
        <v>4</v>
      </c>
      <c r="C21" s="5">
        <v>3</v>
      </c>
      <c r="D21" s="5" t="s">
        <v>58</v>
      </c>
      <c r="E21" s="5" t="s">
        <v>59</v>
      </c>
      <c r="F21" s="5" t="s">
        <v>60</v>
      </c>
      <c r="H21" s="5" t="s">
        <v>61</v>
      </c>
      <c r="I21" s="5">
        <v>750</v>
      </c>
      <c r="J21" s="5" t="s">
        <v>1024</v>
      </c>
    </row>
    <row r="22" spans="1:10" s="5" customFormat="1" x14ac:dyDescent="0.45">
      <c r="A22" s="5" t="s">
        <v>57</v>
      </c>
      <c r="B22" s="5">
        <v>4</v>
      </c>
      <c r="C22" s="5">
        <v>1</v>
      </c>
      <c r="D22" s="5" t="s">
        <v>58</v>
      </c>
      <c r="E22" s="5" t="s">
        <v>62</v>
      </c>
      <c r="F22" s="5" t="s">
        <v>60</v>
      </c>
      <c r="H22" s="5" t="s">
        <v>61</v>
      </c>
      <c r="I22" s="5">
        <v>250</v>
      </c>
      <c r="J22" s="5" t="s">
        <v>1025</v>
      </c>
    </row>
    <row r="23" spans="1:10" x14ac:dyDescent="0.45">
      <c r="A23" t="s">
        <v>71</v>
      </c>
      <c r="B23" t="s">
        <v>72</v>
      </c>
      <c r="C23" t="s">
        <v>77</v>
      </c>
      <c r="D23" t="s">
        <v>73</v>
      </c>
      <c r="E23" t="s">
        <v>74</v>
      </c>
      <c r="F23" t="s">
        <v>75</v>
      </c>
      <c r="G23">
        <v>50</v>
      </c>
      <c r="H23" t="s">
        <v>76</v>
      </c>
      <c r="I23" t="s">
        <v>78</v>
      </c>
      <c r="J23" t="s">
        <v>1244</v>
      </c>
    </row>
    <row r="24" spans="1:10" x14ac:dyDescent="0.45">
      <c r="A24" t="s">
        <v>128</v>
      </c>
      <c r="B24" t="s">
        <v>14</v>
      </c>
      <c r="C24">
        <v>4</v>
      </c>
      <c r="D24" t="s">
        <v>129</v>
      </c>
      <c r="E24" t="s">
        <v>130</v>
      </c>
      <c r="F24" t="s">
        <v>131</v>
      </c>
      <c r="G24">
        <v>50</v>
      </c>
      <c r="H24">
        <v>120</v>
      </c>
      <c r="I24">
        <v>480</v>
      </c>
      <c r="J24" t="s">
        <v>1247</v>
      </c>
    </row>
    <row r="25" spans="1:10" s="5" customFormat="1" x14ac:dyDescent="0.45">
      <c r="A25" s="5" t="s">
        <v>390</v>
      </c>
      <c r="B25" s="5" t="s">
        <v>391</v>
      </c>
      <c r="C25" s="5">
        <v>3</v>
      </c>
      <c r="D25" s="5" t="s">
        <v>269</v>
      </c>
      <c r="E25" s="5" t="s">
        <v>394</v>
      </c>
      <c r="H25" s="16" t="s">
        <v>393</v>
      </c>
      <c r="I25" s="5">
        <v>240</v>
      </c>
      <c r="J25" s="5" t="s">
        <v>1162</v>
      </c>
    </row>
    <row r="26" spans="1:10" s="5" customFormat="1" x14ac:dyDescent="0.45">
      <c r="A26" s="5" t="s">
        <v>390</v>
      </c>
      <c r="B26" s="5" t="s">
        <v>391</v>
      </c>
      <c r="C26" s="5">
        <v>3</v>
      </c>
      <c r="D26" s="5" t="s">
        <v>269</v>
      </c>
      <c r="E26" s="5" t="s">
        <v>395</v>
      </c>
      <c r="H26" s="16" t="s">
        <v>393</v>
      </c>
      <c r="I26" s="5">
        <v>240</v>
      </c>
      <c r="J26" s="5" t="s">
        <v>638</v>
      </c>
    </row>
    <row r="27" spans="1:10" s="5" customFormat="1" x14ac:dyDescent="0.45">
      <c r="A27" s="5" t="s">
        <v>54</v>
      </c>
      <c r="B27" s="5" t="s">
        <v>137</v>
      </c>
      <c r="C27" s="5" t="s">
        <v>275</v>
      </c>
      <c r="D27" s="5" t="s">
        <v>55</v>
      </c>
      <c r="E27" s="5" t="s">
        <v>226</v>
      </c>
      <c r="G27" s="5">
        <v>439</v>
      </c>
      <c r="H27" s="5">
        <v>15.5</v>
      </c>
      <c r="I27" s="7">
        <f>15.5/3.85*175</f>
        <v>704.54545454545462</v>
      </c>
      <c r="J27" s="5" t="s">
        <v>987</v>
      </c>
    </row>
    <row r="28" spans="1:10" s="5" customFormat="1" x14ac:dyDescent="0.45">
      <c r="A28" s="5" t="s">
        <v>54</v>
      </c>
      <c r="B28" s="5" t="s">
        <v>137</v>
      </c>
      <c r="C28" s="5" t="s">
        <v>56</v>
      </c>
      <c r="D28" s="5" t="s">
        <v>55</v>
      </c>
      <c r="E28" s="5" t="s">
        <v>227</v>
      </c>
      <c r="G28" s="5">
        <v>235</v>
      </c>
      <c r="H28" s="5">
        <v>8.3000000000000007</v>
      </c>
      <c r="I28" s="7">
        <f>8.3/3.8*175</f>
        <v>382.23684210526324</v>
      </c>
      <c r="J28" s="5" t="s">
        <v>988</v>
      </c>
    </row>
    <row r="29" spans="1:10" s="21" customFormat="1" x14ac:dyDescent="0.45">
      <c r="A29" s="21" t="s">
        <v>832</v>
      </c>
      <c r="B29" s="21" t="s">
        <v>137</v>
      </c>
      <c r="C29" s="21">
        <v>4</v>
      </c>
      <c r="D29" s="21" t="s">
        <v>42</v>
      </c>
      <c r="E29" s="21" t="s">
        <v>833</v>
      </c>
      <c r="G29" s="21" t="s">
        <v>834</v>
      </c>
      <c r="I29" s="22">
        <v>2200</v>
      </c>
      <c r="J29" s="21" t="s">
        <v>990</v>
      </c>
    </row>
    <row r="30" spans="1:10" x14ac:dyDescent="0.45">
      <c r="A30" t="s">
        <v>729</v>
      </c>
      <c r="B30" t="s">
        <v>822</v>
      </c>
      <c r="C30">
        <v>2</v>
      </c>
      <c r="D30" t="s">
        <v>269</v>
      </c>
      <c r="E30" t="s">
        <v>730</v>
      </c>
      <c r="F30" t="s">
        <v>44</v>
      </c>
      <c r="G30" t="s">
        <v>724</v>
      </c>
      <c r="I30" s="1" t="s">
        <v>728</v>
      </c>
    </row>
    <row r="31" spans="1:10" s="5" customFormat="1" x14ac:dyDescent="0.45">
      <c r="A31" s="5" t="s">
        <v>852</v>
      </c>
      <c r="B31" s="5" t="s">
        <v>184</v>
      </c>
      <c r="C31" s="5">
        <v>4</v>
      </c>
      <c r="D31" s="5" t="s">
        <v>853</v>
      </c>
      <c r="E31" s="5" t="s">
        <v>854</v>
      </c>
      <c r="F31" s="5" t="s">
        <v>44</v>
      </c>
      <c r="G31" s="5" t="s">
        <v>724</v>
      </c>
      <c r="I31" s="7" t="s">
        <v>26</v>
      </c>
      <c r="J31" s="5" t="s">
        <v>903</v>
      </c>
    </row>
    <row r="32" spans="1:10" s="5" customFormat="1" x14ac:dyDescent="0.45">
      <c r="A32" s="5" t="s">
        <v>704</v>
      </c>
      <c r="B32" s="5" t="s">
        <v>184</v>
      </c>
      <c r="C32" s="5">
        <v>3</v>
      </c>
      <c r="D32" s="5" t="s">
        <v>96</v>
      </c>
      <c r="E32" s="5" t="s">
        <v>850</v>
      </c>
      <c r="F32" s="5" t="s">
        <v>706</v>
      </c>
      <c r="G32" s="5">
        <v>100</v>
      </c>
      <c r="H32" s="5">
        <v>210</v>
      </c>
      <c r="I32" s="5" t="s">
        <v>851</v>
      </c>
      <c r="J32" s="5" t="s">
        <v>879</v>
      </c>
    </row>
    <row r="33" spans="1:11" s="5" customFormat="1" x14ac:dyDescent="0.45">
      <c r="A33" s="5" t="s">
        <v>1156</v>
      </c>
      <c r="B33" s="5" t="s">
        <v>14</v>
      </c>
      <c r="C33" s="5">
        <v>8</v>
      </c>
      <c r="D33" s="5" t="s">
        <v>368</v>
      </c>
      <c r="E33" s="5" t="s">
        <v>1246</v>
      </c>
      <c r="F33" s="5" t="s">
        <v>1157</v>
      </c>
      <c r="G33" s="5" t="s">
        <v>1158</v>
      </c>
      <c r="H33" s="5" t="s">
        <v>1159</v>
      </c>
      <c r="I33" s="5">
        <v>1180</v>
      </c>
      <c r="J33" s="5" t="s">
        <v>1250</v>
      </c>
    </row>
    <row r="34" spans="1:11" s="21" customFormat="1" x14ac:dyDescent="0.45">
      <c r="A34" s="21" t="s">
        <v>1156</v>
      </c>
      <c r="B34" s="21" t="s">
        <v>14</v>
      </c>
      <c r="C34" s="21">
        <v>1</v>
      </c>
      <c r="D34" s="21" t="s">
        <v>368</v>
      </c>
      <c r="E34" s="21" t="s">
        <v>1245</v>
      </c>
      <c r="F34" s="21" t="s">
        <v>1157</v>
      </c>
      <c r="G34" s="21" t="s">
        <v>1158</v>
      </c>
      <c r="H34" s="21" t="s">
        <v>1159</v>
      </c>
      <c r="I34" s="21">
        <v>147</v>
      </c>
      <c r="J34" s="21" t="s">
        <v>1298</v>
      </c>
    </row>
    <row r="35" spans="1:11" x14ac:dyDescent="0.45">
      <c r="A35" t="s">
        <v>223</v>
      </c>
      <c r="B35" t="s">
        <v>176</v>
      </c>
      <c r="D35" t="s">
        <v>1224</v>
      </c>
      <c r="E35" t="s">
        <v>224</v>
      </c>
      <c r="I35" t="s">
        <v>225</v>
      </c>
      <c r="J35" s="21" t="s">
        <v>992</v>
      </c>
    </row>
    <row r="36" spans="1:11" s="21" customFormat="1" x14ac:dyDescent="0.45">
      <c r="A36" s="21" t="s">
        <v>469</v>
      </c>
      <c r="B36" s="21" t="s">
        <v>83</v>
      </c>
      <c r="C36" s="21">
        <v>1</v>
      </c>
      <c r="E36" s="21" t="s">
        <v>1220</v>
      </c>
      <c r="J36" s="21" t="s">
        <v>1299</v>
      </c>
    </row>
    <row r="37" spans="1:11" s="21" customFormat="1" x14ac:dyDescent="0.45">
      <c r="A37" s="21" t="s">
        <v>469</v>
      </c>
      <c r="B37" s="21" t="s">
        <v>83</v>
      </c>
      <c r="C37" s="21" t="s">
        <v>1257</v>
      </c>
      <c r="E37" s="21" t="s">
        <v>1221</v>
      </c>
      <c r="J37" s="21" t="s">
        <v>1276</v>
      </c>
    </row>
    <row r="38" spans="1:11" s="21" customFormat="1" x14ac:dyDescent="0.45">
      <c r="A38" s="21" t="s">
        <v>469</v>
      </c>
      <c r="B38" s="21" t="s">
        <v>83</v>
      </c>
      <c r="C38" s="21" t="s">
        <v>968</v>
      </c>
      <c r="E38" s="21" t="s">
        <v>36</v>
      </c>
      <c r="J38" s="21" t="s">
        <v>1249</v>
      </c>
    </row>
    <row r="39" spans="1:11" s="21" customFormat="1" x14ac:dyDescent="0.45">
      <c r="A39" s="21" t="s">
        <v>469</v>
      </c>
      <c r="B39" s="21" t="s">
        <v>83</v>
      </c>
      <c r="C39" s="21" t="s">
        <v>968</v>
      </c>
      <c r="E39" s="21" t="s">
        <v>1222</v>
      </c>
      <c r="J39" s="21" t="s">
        <v>1249</v>
      </c>
    </row>
    <row r="40" spans="1:11" x14ac:dyDescent="0.45">
      <c r="A40" s="21" t="s">
        <v>1263</v>
      </c>
    </row>
    <row r="41" spans="1:11" x14ac:dyDescent="0.45">
      <c r="A41" t="s">
        <v>142</v>
      </c>
      <c r="B41" t="s">
        <v>137</v>
      </c>
      <c r="C41">
        <v>1</v>
      </c>
      <c r="D41" t="s">
        <v>10</v>
      </c>
      <c r="E41" t="s">
        <v>143</v>
      </c>
      <c r="F41" t="s">
        <v>144</v>
      </c>
      <c r="G41" t="s">
        <v>145</v>
      </c>
      <c r="H41">
        <v>146</v>
      </c>
      <c r="I41">
        <v>146</v>
      </c>
      <c r="K41">
        <v>8</v>
      </c>
    </row>
    <row r="42" spans="1:11" x14ac:dyDescent="0.45">
      <c r="C42" t="s">
        <v>641</v>
      </c>
      <c r="E42" t="s">
        <v>146</v>
      </c>
      <c r="I42" t="s">
        <v>1266</v>
      </c>
      <c r="K42">
        <v>8</v>
      </c>
    </row>
    <row r="43" spans="1:11" x14ac:dyDescent="0.45">
      <c r="C43" t="s">
        <v>1277</v>
      </c>
      <c r="E43" t="s">
        <v>160</v>
      </c>
      <c r="I43" t="s">
        <v>1267</v>
      </c>
      <c r="J43" t="s">
        <v>1297</v>
      </c>
    </row>
    <row r="44" spans="1:11" x14ac:dyDescent="0.45">
      <c r="C44" t="s">
        <v>1264</v>
      </c>
      <c r="E44" t="s">
        <v>1221</v>
      </c>
      <c r="I44">
        <v>292</v>
      </c>
    </row>
    <row r="45" spans="1:11" x14ac:dyDescent="0.45">
      <c r="C45" t="s">
        <v>968</v>
      </c>
      <c r="E45" t="s">
        <v>1265</v>
      </c>
      <c r="I45" t="s">
        <v>1267</v>
      </c>
    </row>
    <row r="46" spans="1:11" x14ac:dyDescent="0.45">
      <c r="A46" t="s">
        <v>1283</v>
      </c>
      <c r="B46" t="s">
        <v>83</v>
      </c>
      <c r="C46">
        <v>8</v>
      </c>
      <c r="D46" t="s">
        <v>1284</v>
      </c>
      <c r="E46" t="s">
        <v>1285</v>
      </c>
      <c r="G46" t="s">
        <v>1286</v>
      </c>
      <c r="I46" t="s">
        <v>1287</v>
      </c>
    </row>
    <row r="47" spans="1:11" x14ac:dyDescent="0.45">
      <c r="A47" t="s">
        <v>1288</v>
      </c>
      <c r="B47" t="s">
        <v>14</v>
      </c>
      <c r="C47">
        <v>2</v>
      </c>
      <c r="D47" t="s">
        <v>1289</v>
      </c>
      <c r="E47" t="s">
        <v>1290</v>
      </c>
      <c r="G47" t="s">
        <v>1291</v>
      </c>
      <c r="I47" t="s">
        <v>1293</v>
      </c>
      <c r="J47" t="s">
        <v>1295</v>
      </c>
    </row>
    <row r="48" spans="1:11" x14ac:dyDescent="0.45">
      <c r="A48" t="s">
        <v>1288</v>
      </c>
      <c r="B48" t="s">
        <v>14</v>
      </c>
      <c r="C48">
        <v>2</v>
      </c>
      <c r="D48" t="s">
        <v>1289</v>
      </c>
      <c r="E48" t="s">
        <v>1292</v>
      </c>
      <c r="G48" t="s">
        <v>1291</v>
      </c>
      <c r="I48" t="s">
        <v>1294</v>
      </c>
      <c r="J48" t="s">
        <v>1296</v>
      </c>
    </row>
    <row r="49" spans="1:11" x14ac:dyDescent="0.45">
      <c r="A49" s="6" t="s">
        <v>70</v>
      </c>
    </row>
    <row r="50" spans="1:11" x14ac:dyDescent="0.45">
      <c r="A50" s="8" t="s">
        <v>1269</v>
      </c>
      <c r="B50" t="s">
        <v>14</v>
      </c>
      <c r="C50">
        <v>2</v>
      </c>
      <c r="D50" t="s">
        <v>1271</v>
      </c>
      <c r="E50" t="s">
        <v>1270</v>
      </c>
      <c r="G50" t="s">
        <v>1272</v>
      </c>
      <c r="H50">
        <v>434</v>
      </c>
      <c r="I50">
        <v>870</v>
      </c>
    </row>
    <row r="51" spans="1:11" x14ac:dyDescent="0.45">
      <c r="A51" s="8" t="s">
        <v>1269</v>
      </c>
      <c r="B51" t="s">
        <v>37</v>
      </c>
      <c r="C51">
        <v>1</v>
      </c>
      <c r="D51" t="s">
        <v>1273</v>
      </c>
      <c r="E51" t="s">
        <v>1274</v>
      </c>
    </row>
    <row r="52" spans="1:11" s="21" customFormat="1" x14ac:dyDescent="0.45">
      <c r="A52" s="21" t="s">
        <v>90</v>
      </c>
      <c r="B52" s="21" t="s">
        <v>64</v>
      </c>
      <c r="C52" s="21">
        <v>1</v>
      </c>
      <c r="D52" s="21" t="s">
        <v>91</v>
      </c>
      <c r="E52" s="21" t="s">
        <v>106</v>
      </c>
      <c r="F52" s="21" t="s">
        <v>93</v>
      </c>
      <c r="G52" s="21">
        <v>100</v>
      </c>
      <c r="H52" s="21">
        <v>440</v>
      </c>
      <c r="I52" s="21">
        <v>440</v>
      </c>
      <c r="J52" s="21" t="s">
        <v>1200</v>
      </c>
    </row>
    <row r="53" spans="1:11" s="8" customFormat="1" x14ac:dyDescent="0.45">
      <c r="A53" s="8" t="s">
        <v>1258</v>
      </c>
      <c r="B53" s="8" t="s">
        <v>83</v>
      </c>
      <c r="C53" s="8">
        <v>1</v>
      </c>
      <c r="D53" s="8" t="s">
        <v>1259</v>
      </c>
      <c r="E53" s="8" t="s">
        <v>1260</v>
      </c>
      <c r="F53" s="8" t="s">
        <v>1261</v>
      </c>
      <c r="G53" s="8" t="s">
        <v>848</v>
      </c>
      <c r="H53" s="8">
        <v>439</v>
      </c>
      <c r="I53" s="8">
        <v>439</v>
      </c>
    </row>
    <row r="54" spans="1:11" s="8" customFormat="1" x14ac:dyDescent="0.45">
      <c r="A54" s="8" t="s">
        <v>1258</v>
      </c>
      <c r="B54" s="8" t="s">
        <v>83</v>
      </c>
      <c r="C54" s="8">
        <v>1</v>
      </c>
      <c r="D54" s="8" t="s">
        <v>1259</v>
      </c>
      <c r="E54" s="8" t="s">
        <v>1262</v>
      </c>
      <c r="F54" s="8" t="s">
        <v>1261</v>
      </c>
      <c r="G54" s="8" t="s">
        <v>848</v>
      </c>
      <c r="H54" s="8">
        <v>439</v>
      </c>
      <c r="I54" s="8">
        <v>439</v>
      </c>
    </row>
    <row r="55" spans="1:11" s="21" customFormat="1" x14ac:dyDescent="0.45">
      <c r="A55" s="21" t="s">
        <v>63</v>
      </c>
      <c r="B55" s="21" t="s">
        <v>64</v>
      </c>
      <c r="C55" s="21">
        <v>1</v>
      </c>
      <c r="D55" s="21" t="s">
        <v>65</v>
      </c>
      <c r="E55" s="21" t="s">
        <v>66</v>
      </c>
      <c r="F55" s="21" t="s">
        <v>67</v>
      </c>
      <c r="G55" s="21" t="s">
        <v>68</v>
      </c>
      <c r="H55" s="21">
        <v>552</v>
      </c>
      <c r="I55" s="21">
        <v>552</v>
      </c>
    </row>
    <row r="56" spans="1:11" s="21" customFormat="1" x14ac:dyDescent="0.45">
      <c r="A56" s="21" t="s">
        <v>63</v>
      </c>
      <c r="B56" s="21" t="s">
        <v>64</v>
      </c>
      <c r="C56" s="21">
        <v>1</v>
      </c>
      <c r="D56" s="21" t="s">
        <v>65</v>
      </c>
      <c r="E56" s="21" t="s">
        <v>69</v>
      </c>
      <c r="F56" s="21" t="s">
        <v>67</v>
      </c>
      <c r="G56" s="21" t="s">
        <v>68</v>
      </c>
      <c r="H56" s="21">
        <v>552</v>
      </c>
      <c r="I56" s="21">
        <v>552</v>
      </c>
    </row>
    <row r="57" spans="1:11" x14ac:dyDescent="0.45">
      <c r="A57" t="s">
        <v>85</v>
      </c>
      <c r="B57" t="s">
        <v>83</v>
      </c>
      <c r="C57" t="s">
        <v>1218</v>
      </c>
      <c r="D57" t="s">
        <v>65</v>
      </c>
      <c r="E57" t="s">
        <v>86</v>
      </c>
      <c r="F57" t="s">
        <v>87</v>
      </c>
      <c r="G57">
        <v>100</v>
      </c>
      <c r="H57" t="s">
        <v>88</v>
      </c>
      <c r="I57">
        <v>400</v>
      </c>
      <c r="J57" t="s">
        <v>89</v>
      </c>
    </row>
    <row r="58" spans="1:11" x14ac:dyDescent="0.45">
      <c r="A58" t="s">
        <v>95</v>
      </c>
      <c r="B58" t="s">
        <v>20</v>
      </c>
      <c r="C58">
        <v>2</v>
      </c>
      <c r="D58" t="s">
        <v>96</v>
      </c>
      <c r="E58" t="s">
        <v>97</v>
      </c>
      <c r="F58" t="s">
        <v>98</v>
      </c>
      <c r="G58">
        <v>115</v>
      </c>
      <c r="H58">
        <v>400</v>
      </c>
      <c r="I58">
        <v>800</v>
      </c>
    </row>
    <row r="59" spans="1:11" x14ac:dyDescent="0.45">
      <c r="A59" t="s">
        <v>99</v>
      </c>
      <c r="B59" t="s">
        <v>14</v>
      </c>
      <c r="C59">
        <v>2</v>
      </c>
      <c r="D59" t="s">
        <v>100</v>
      </c>
      <c r="E59" t="s">
        <v>101</v>
      </c>
      <c r="F59" t="s">
        <v>102</v>
      </c>
      <c r="G59">
        <v>384</v>
      </c>
      <c r="H59">
        <v>420</v>
      </c>
      <c r="I59">
        <v>840</v>
      </c>
    </row>
    <row r="60" spans="1:11" x14ac:dyDescent="0.45">
      <c r="A60" t="s">
        <v>103</v>
      </c>
      <c r="B60" t="s">
        <v>14</v>
      </c>
      <c r="C60">
        <v>2</v>
      </c>
      <c r="D60" t="s">
        <v>104</v>
      </c>
      <c r="E60" t="s">
        <v>105</v>
      </c>
      <c r="H60">
        <v>150</v>
      </c>
      <c r="I60">
        <v>300</v>
      </c>
    </row>
    <row r="61" spans="1:11" x14ac:dyDescent="0.45">
      <c r="A61" t="s">
        <v>107</v>
      </c>
      <c r="B61" t="s">
        <v>20</v>
      </c>
      <c r="C61" t="s">
        <v>108</v>
      </c>
      <c r="D61" t="s">
        <v>109</v>
      </c>
      <c r="E61" t="s">
        <v>549</v>
      </c>
      <c r="F61" t="s">
        <v>110</v>
      </c>
      <c r="G61" t="s">
        <v>111</v>
      </c>
      <c r="H61" t="s">
        <v>1093</v>
      </c>
      <c r="I61" t="s">
        <v>678</v>
      </c>
      <c r="J61" t="s">
        <v>1103</v>
      </c>
    </row>
    <row r="62" spans="1:11" s="5" customFormat="1" x14ac:dyDescent="0.45">
      <c r="A62" s="5" t="s">
        <v>107</v>
      </c>
      <c r="B62" s="5" t="s">
        <v>20</v>
      </c>
      <c r="C62" s="5">
        <v>3</v>
      </c>
      <c r="D62" s="5" t="s">
        <v>109</v>
      </c>
      <c r="E62" s="5" t="s">
        <v>550</v>
      </c>
      <c r="F62" s="5" t="s">
        <v>110</v>
      </c>
      <c r="G62" s="5" t="s">
        <v>111</v>
      </c>
      <c r="H62" s="5" t="s">
        <v>203</v>
      </c>
      <c r="I62" s="5">
        <f>(142*150)/50</f>
        <v>426</v>
      </c>
      <c r="J62" s="5" t="s">
        <v>673</v>
      </c>
      <c r="K62" s="5" t="s">
        <v>561</v>
      </c>
    </row>
    <row r="63" spans="1:11" x14ac:dyDescent="0.45">
      <c r="A63" t="s">
        <v>107</v>
      </c>
      <c r="B63" t="s">
        <v>20</v>
      </c>
      <c r="C63">
        <v>2</v>
      </c>
      <c r="D63" t="s">
        <v>109</v>
      </c>
      <c r="E63" t="s">
        <v>587</v>
      </c>
      <c r="F63" t="s">
        <v>110</v>
      </c>
      <c r="G63" t="s">
        <v>111</v>
      </c>
      <c r="I63" t="s">
        <v>679</v>
      </c>
      <c r="J63" t="s">
        <v>1104</v>
      </c>
    </row>
    <row r="64" spans="1:11" x14ac:dyDescent="0.45">
      <c r="A64" t="s">
        <v>588</v>
      </c>
      <c r="B64" t="s">
        <v>14</v>
      </c>
      <c r="C64" t="s">
        <v>589</v>
      </c>
      <c r="D64" t="s">
        <v>590</v>
      </c>
      <c r="E64" t="s">
        <v>592</v>
      </c>
      <c r="F64" t="s">
        <v>591</v>
      </c>
      <c r="G64" t="s">
        <v>111</v>
      </c>
      <c r="I64">
        <v>600</v>
      </c>
      <c r="J64" t="s">
        <v>593</v>
      </c>
    </row>
    <row r="65" spans="1:11" x14ac:dyDescent="0.45">
      <c r="A65" t="s">
        <v>112</v>
      </c>
      <c r="B65" t="s">
        <v>83</v>
      </c>
      <c r="C65">
        <v>2</v>
      </c>
      <c r="D65" t="s">
        <v>113</v>
      </c>
      <c r="E65" t="s">
        <v>114</v>
      </c>
      <c r="F65" s="2" t="s">
        <v>115</v>
      </c>
      <c r="H65" t="s">
        <v>116</v>
      </c>
      <c r="I65">
        <v>1260</v>
      </c>
      <c r="J65" t="s">
        <v>489</v>
      </c>
      <c r="K65" t="s">
        <v>902</v>
      </c>
    </row>
    <row r="66" spans="1:11" x14ac:dyDescent="0.45">
      <c r="A66" t="s">
        <v>117</v>
      </c>
      <c r="B66" t="s">
        <v>14</v>
      </c>
      <c r="C66">
        <v>1</v>
      </c>
      <c r="D66" t="s">
        <v>118</v>
      </c>
      <c r="E66" t="s">
        <v>119</v>
      </c>
      <c r="G66">
        <v>115</v>
      </c>
      <c r="H66">
        <v>400</v>
      </c>
      <c r="I66" t="s">
        <v>680</v>
      </c>
      <c r="J66" t="s">
        <v>120</v>
      </c>
    </row>
    <row r="67" spans="1:11" x14ac:dyDescent="0.45">
      <c r="A67" t="s">
        <v>117</v>
      </c>
      <c r="B67" t="s">
        <v>14</v>
      </c>
      <c r="C67">
        <v>1</v>
      </c>
      <c r="D67" t="s">
        <v>118</v>
      </c>
      <c r="E67" t="s">
        <v>121</v>
      </c>
      <c r="G67">
        <v>115</v>
      </c>
      <c r="H67">
        <v>400</v>
      </c>
      <c r="I67" t="s">
        <v>680</v>
      </c>
      <c r="J67" t="s">
        <v>120</v>
      </c>
    </row>
    <row r="68" spans="1:11" s="21" customFormat="1" x14ac:dyDescent="0.45">
      <c r="A68" s="21" t="s">
        <v>122</v>
      </c>
      <c r="B68" s="21" t="s">
        <v>14</v>
      </c>
      <c r="C68" s="21">
        <v>1</v>
      </c>
      <c r="D68" s="21" t="s">
        <v>123</v>
      </c>
      <c r="E68" s="21" t="s">
        <v>124</v>
      </c>
      <c r="F68" s="21" t="s">
        <v>125</v>
      </c>
      <c r="G68" s="21" t="s">
        <v>126</v>
      </c>
      <c r="H68" s="21" t="s">
        <v>127</v>
      </c>
      <c r="I68" s="21">
        <v>445</v>
      </c>
      <c r="J68" s="21" t="s">
        <v>1192</v>
      </c>
    </row>
    <row r="69" spans="1:11" x14ac:dyDescent="0.45">
      <c r="A69" t="s">
        <v>656</v>
      </c>
      <c r="B69" t="s">
        <v>657</v>
      </c>
      <c r="C69">
        <v>1</v>
      </c>
      <c r="D69" t="s">
        <v>658</v>
      </c>
      <c r="E69" t="s">
        <v>659</v>
      </c>
      <c r="F69" t="s">
        <v>660</v>
      </c>
      <c r="G69" t="s">
        <v>159</v>
      </c>
      <c r="H69" t="s">
        <v>661</v>
      </c>
      <c r="I69">
        <v>137</v>
      </c>
      <c r="J69" t="s">
        <v>662</v>
      </c>
    </row>
    <row r="70" spans="1:11" x14ac:dyDescent="0.45">
      <c r="A70" t="s">
        <v>136</v>
      </c>
      <c r="B70" t="s">
        <v>137</v>
      </c>
      <c r="C70">
        <v>1</v>
      </c>
      <c r="D70" t="s">
        <v>138</v>
      </c>
      <c r="E70" t="s">
        <v>139</v>
      </c>
      <c r="F70" t="s">
        <v>140</v>
      </c>
      <c r="G70">
        <v>50</v>
      </c>
      <c r="H70">
        <v>130</v>
      </c>
      <c r="I70">
        <v>130</v>
      </c>
    </row>
    <row r="71" spans="1:11" x14ac:dyDescent="0.45">
      <c r="A71" t="s">
        <v>136</v>
      </c>
      <c r="B71" t="s">
        <v>137</v>
      </c>
      <c r="C71">
        <v>2</v>
      </c>
      <c r="D71" t="s">
        <v>138</v>
      </c>
      <c r="E71" t="s">
        <v>141</v>
      </c>
      <c r="F71" t="s">
        <v>140</v>
      </c>
      <c r="G71">
        <v>50</v>
      </c>
      <c r="H71">
        <v>130</v>
      </c>
      <c r="I71">
        <v>260</v>
      </c>
    </row>
    <row r="72" spans="1:11" x14ac:dyDescent="0.45">
      <c r="A72" t="s">
        <v>149</v>
      </c>
      <c r="B72" t="s">
        <v>150</v>
      </c>
      <c r="C72">
        <v>2</v>
      </c>
      <c r="D72" t="s">
        <v>118</v>
      </c>
      <c r="E72" t="s">
        <v>151</v>
      </c>
      <c r="F72" t="s">
        <v>152</v>
      </c>
      <c r="G72" t="s">
        <v>153</v>
      </c>
      <c r="H72" t="s">
        <v>154</v>
      </c>
      <c r="I72">
        <v>242</v>
      </c>
    </row>
    <row r="73" spans="1:11" s="21" customFormat="1" x14ac:dyDescent="0.45">
      <c r="A73" s="21" t="s">
        <v>155</v>
      </c>
      <c r="B73" s="21" t="s">
        <v>150</v>
      </c>
      <c r="C73" s="21">
        <v>1</v>
      </c>
      <c r="D73" s="21" t="s">
        <v>156</v>
      </c>
      <c r="E73" s="21" t="s">
        <v>157</v>
      </c>
      <c r="F73" s="21" t="s">
        <v>158</v>
      </c>
      <c r="G73" s="21" t="s">
        <v>159</v>
      </c>
      <c r="I73" s="21">
        <v>125</v>
      </c>
    </row>
    <row r="74" spans="1:11" s="5" customFormat="1" x14ac:dyDescent="0.45">
      <c r="A74" s="5" t="s">
        <v>9</v>
      </c>
      <c r="B74" s="5" t="s">
        <v>653</v>
      </c>
      <c r="C74" s="5">
        <v>1</v>
      </c>
      <c r="D74" s="5" t="s">
        <v>10</v>
      </c>
      <c r="E74" s="5" t="s">
        <v>654</v>
      </c>
      <c r="G74" s="5">
        <v>100</v>
      </c>
      <c r="H74" s="5">
        <v>440</v>
      </c>
      <c r="I74" s="5">
        <v>440</v>
      </c>
      <c r="J74" s="5" t="s">
        <v>1280</v>
      </c>
    </row>
    <row r="75" spans="1:11" x14ac:dyDescent="0.45">
      <c r="A75" t="s">
        <v>428</v>
      </c>
      <c r="B75" t="s">
        <v>150</v>
      </c>
      <c r="C75">
        <v>2</v>
      </c>
      <c r="D75" t="s">
        <v>429</v>
      </c>
      <c r="E75" t="s">
        <v>688</v>
      </c>
      <c r="F75" t="s">
        <v>689</v>
      </c>
      <c r="G75" t="s">
        <v>430</v>
      </c>
      <c r="H75" t="s">
        <v>431</v>
      </c>
      <c r="I75" t="s">
        <v>432</v>
      </c>
      <c r="J75" t="s">
        <v>1282</v>
      </c>
    </row>
    <row r="76" spans="1:11" x14ac:dyDescent="0.45">
      <c r="A76" t="s">
        <v>428</v>
      </c>
      <c r="B76" t="s">
        <v>150</v>
      </c>
      <c r="C76">
        <v>2</v>
      </c>
      <c r="D76" t="s">
        <v>429</v>
      </c>
      <c r="E76" t="s">
        <v>1251</v>
      </c>
      <c r="F76" t="s">
        <v>689</v>
      </c>
      <c r="G76" t="s">
        <v>430</v>
      </c>
      <c r="H76" t="s">
        <v>431</v>
      </c>
      <c r="I76">
        <v>300</v>
      </c>
      <c r="J76" t="s">
        <v>1281</v>
      </c>
    </row>
    <row r="77" spans="1:11" x14ac:dyDescent="0.45">
      <c r="A77" t="s">
        <v>163</v>
      </c>
      <c r="B77" t="s">
        <v>165</v>
      </c>
      <c r="C77">
        <v>1</v>
      </c>
      <c r="D77" t="s">
        <v>164</v>
      </c>
      <c r="E77" t="s">
        <v>551</v>
      </c>
      <c r="F77" t="s">
        <v>166</v>
      </c>
      <c r="H77" t="s">
        <v>167</v>
      </c>
      <c r="I77">
        <v>210</v>
      </c>
      <c r="J77" t="s">
        <v>1163</v>
      </c>
    </row>
    <row r="78" spans="1:11" x14ac:dyDescent="0.45">
      <c r="A78" t="s">
        <v>168</v>
      </c>
      <c r="B78" t="s">
        <v>14</v>
      </c>
      <c r="C78">
        <v>1.5</v>
      </c>
      <c r="D78" t="s">
        <v>169</v>
      </c>
      <c r="E78" t="s">
        <v>170</v>
      </c>
      <c r="F78" t="s">
        <v>171</v>
      </c>
      <c r="G78">
        <v>50</v>
      </c>
      <c r="H78">
        <v>218</v>
      </c>
      <c r="I78">
        <v>327</v>
      </c>
      <c r="J78" t="s">
        <v>646</v>
      </c>
    </row>
    <row r="79" spans="1:11" s="21" customFormat="1" x14ac:dyDescent="0.45">
      <c r="A79" s="21" t="s">
        <v>175</v>
      </c>
      <c r="B79" s="21" t="s">
        <v>1009</v>
      </c>
      <c r="C79" s="21">
        <v>1</v>
      </c>
      <c r="D79" s="21" t="s">
        <v>177</v>
      </c>
      <c r="E79" s="21" t="s">
        <v>178</v>
      </c>
      <c r="F79" s="21" t="s">
        <v>179</v>
      </c>
      <c r="G79" s="21">
        <v>100</v>
      </c>
      <c r="H79" s="21">
        <v>50</v>
      </c>
      <c r="I79" s="21">
        <v>50</v>
      </c>
      <c r="J79" s="21" t="s">
        <v>1031</v>
      </c>
    </row>
    <row r="80" spans="1:11" s="21" customFormat="1" x14ac:dyDescent="0.45">
      <c r="A80" s="21" t="s">
        <v>175</v>
      </c>
      <c r="B80" s="21" t="s">
        <v>1009</v>
      </c>
      <c r="C80" s="21">
        <v>1</v>
      </c>
      <c r="D80" s="21" t="s">
        <v>177</v>
      </c>
      <c r="E80" s="21" t="s">
        <v>181</v>
      </c>
      <c r="F80" s="21" t="s">
        <v>179</v>
      </c>
      <c r="G80" s="21">
        <v>100</v>
      </c>
      <c r="H80" s="21">
        <v>50</v>
      </c>
      <c r="I80" s="21">
        <v>50</v>
      </c>
      <c r="J80" s="21" t="s">
        <v>1193</v>
      </c>
    </row>
    <row r="81" spans="1:11" x14ac:dyDescent="0.45">
      <c r="A81" t="s">
        <v>175</v>
      </c>
      <c r="B81" t="s">
        <v>1009</v>
      </c>
      <c r="C81">
        <v>1</v>
      </c>
      <c r="D81" t="s">
        <v>177</v>
      </c>
      <c r="E81" t="s">
        <v>182</v>
      </c>
      <c r="F81" t="s">
        <v>179</v>
      </c>
      <c r="G81">
        <v>100</v>
      </c>
      <c r="H81">
        <v>50</v>
      </c>
      <c r="I81">
        <v>50</v>
      </c>
      <c r="J81" t="s">
        <v>180</v>
      </c>
    </row>
    <row r="82" spans="1:11" x14ac:dyDescent="0.45">
      <c r="A82" t="s">
        <v>183</v>
      </c>
      <c r="B82" t="s">
        <v>184</v>
      </c>
      <c r="C82" t="s">
        <v>185</v>
      </c>
      <c r="D82" t="s">
        <v>100</v>
      </c>
      <c r="E82" t="s">
        <v>186</v>
      </c>
      <c r="F82" t="s">
        <v>187</v>
      </c>
      <c r="G82" t="s">
        <v>4</v>
      </c>
      <c r="H82" t="s">
        <v>188</v>
      </c>
      <c r="I82" t="s">
        <v>189</v>
      </c>
    </row>
    <row r="83" spans="1:11" x14ac:dyDescent="0.45">
      <c r="A83" t="s">
        <v>190</v>
      </c>
      <c r="B83" t="s">
        <v>191</v>
      </c>
      <c r="C83">
        <v>1</v>
      </c>
      <c r="D83" t="s">
        <v>192</v>
      </c>
      <c r="E83" t="s">
        <v>193</v>
      </c>
      <c r="F83" t="s">
        <v>194</v>
      </c>
      <c r="G83" t="s">
        <v>195</v>
      </c>
      <c r="H83">
        <v>236</v>
      </c>
      <c r="I83" t="s">
        <v>674</v>
      </c>
      <c r="J83" t="s">
        <v>559</v>
      </c>
    </row>
    <row r="84" spans="1:11" x14ac:dyDescent="0.45">
      <c r="A84" t="s">
        <v>190</v>
      </c>
      <c r="B84" t="s">
        <v>191</v>
      </c>
      <c r="C84">
        <v>1</v>
      </c>
      <c r="D84" t="s">
        <v>192</v>
      </c>
      <c r="E84" t="s">
        <v>197</v>
      </c>
      <c r="F84" t="s">
        <v>194</v>
      </c>
      <c r="G84" t="s">
        <v>195</v>
      </c>
      <c r="H84">
        <v>236</v>
      </c>
      <c r="I84" t="s">
        <v>674</v>
      </c>
      <c r="J84" t="s">
        <v>196</v>
      </c>
    </row>
    <row r="85" spans="1:11" s="5" customFormat="1" x14ac:dyDescent="0.45">
      <c r="A85" s="5" t="s">
        <v>704</v>
      </c>
      <c r="B85" s="5" t="s">
        <v>184</v>
      </c>
      <c r="C85" s="5">
        <v>1</v>
      </c>
      <c r="D85" s="5" t="s">
        <v>96</v>
      </c>
      <c r="E85" s="5" t="s">
        <v>705</v>
      </c>
      <c r="F85" s="5" t="s">
        <v>706</v>
      </c>
      <c r="G85" s="5">
        <v>100</v>
      </c>
      <c r="H85" s="5">
        <v>210</v>
      </c>
      <c r="I85" s="5">
        <v>210</v>
      </c>
      <c r="J85" s="5" t="s">
        <v>1005</v>
      </c>
    </row>
    <row r="86" spans="1:11" x14ac:dyDescent="0.45">
      <c r="A86" t="s">
        <v>198</v>
      </c>
      <c r="B86" t="s">
        <v>495</v>
      </c>
      <c r="C86">
        <v>1</v>
      </c>
      <c r="D86" t="s">
        <v>199</v>
      </c>
      <c r="E86" t="s">
        <v>200</v>
      </c>
      <c r="F86" t="s">
        <v>202</v>
      </c>
      <c r="G86">
        <v>302</v>
      </c>
      <c r="H86" t="s">
        <v>201</v>
      </c>
      <c r="I86">
        <v>200</v>
      </c>
      <c r="K86">
        <v>35</v>
      </c>
    </row>
    <row r="87" spans="1:11" x14ac:dyDescent="0.45">
      <c r="A87" t="s">
        <v>204</v>
      </c>
      <c r="B87" t="s">
        <v>184</v>
      </c>
      <c r="C87">
        <v>2</v>
      </c>
      <c r="D87" t="s">
        <v>205</v>
      </c>
      <c r="E87" t="s">
        <v>1268</v>
      </c>
      <c r="F87" t="s">
        <v>206</v>
      </c>
      <c r="G87" t="s">
        <v>207</v>
      </c>
      <c r="H87">
        <v>182</v>
      </c>
      <c r="I87">
        <f>182*2</f>
        <v>364</v>
      </c>
      <c r="J87" t="s">
        <v>373</v>
      </c>
    </row>
    <row r="88" spans="1:11" s="21" customFormat="1" x14ac:dyDescent="0.45">
      <c r="A88" s="21" t="s">
        <v>208</v>
      </c>
      <c r="B88" s="21" t="s">
        <v>209</v>
      </c>
      <c r="C88" s="21">
        <v>1</v>
      </c>
      <c r="D88" s="21" t="s">
        <v>210</v>
      </c>
      <c r="E88" s="21" t="s">
        <v>707</v>
      </c>
      <c r="F88" s="21" t="s">
        <v>212</v>
      </c>
      <c r="G88" s="21">
        <v>100</v>
      </c>
      <c r="H88" s="21">
        <v>140</v>
      </c>
      <c r="I88" s="21" t="s">
        <v>675</v>
      </c>
      <c r="J88" s="21" t="s">
        <v>883</v>
      </c>
    </row>
    <row r="89" spans="1:11" s="21" customFormat="1" x14ac:dyDescent="0.45">
      <c r="A89" s="21" t="s">
        <v>208</v>
      </c>
      <c r="B89" s="21" t="s">
        <v>209</v>
      </c>
      <c r="C89" s="21">
        <v>1</v>
      </c>
      <c r="D89" s="21" t="s">
        <v>210</v>
      </c>
      <c r="E89" s="21" t="s">
        <v>213</v>
      </c>
      <c r="F89" s="21" t="s">
        <v>212</v>
      </c>
      <c r="G89" s="21">
        <v>100</v>
      </c>
      <c r="H89" s="21">
        <v>140</v>
      </c>
      <c r="I89" s="21" t="s">
        <v>675</v>
      </c>
      <c r="J89" s="21" t="s">
        <v>676</v>
      </c>
    </row>
    <row r="90" spans="1:11" x14ac:dyDescent="0.45">
      <c r="A90" t="s">
        <v>214</v>
      </c>
      <c r="B90" t="s">
        <v>191</v>
      </c>
      <c r="C90">
        <v>4</v>
      </c>
      <c r="D90" t="s">
        <v>215</v>
      </c>
      <c r="E90" t="s">
        <v>216</v>
      </c>
      <c r="F90" t="s">
        <v>217</v>
      </c>
      <c r="G90" t="s">
        <v>218</v>
      </c>
      <c r="H90" t="s">
        <v>219</v>
      </c>
      <c r="I90">
        <v>460</v>
      </c>
      <c r="J90" t="s">
        <v>1161</v>
      </c>
    </row>
    <row r="91" spans="1:11" x14ac:dyDescent="0.45">
      <c r="A91" t="s">
        <v>647</v>
      </c>
      <c r="B91" t="s">
        <v>993</v>
      </c>
      <c r="C91">
        <v>1</v>
      </c>
      <c r="D91" t="s">
        <v>648</v>
      </c>
      <c r="E91" t="s">
        <v>649</v>
      </c>
      <c r="F91" t="s">
        <v>650</v>
      </c>
      <c r="G91" t="s">
        <v>651</v>
      </c>
      <c r="H91" t="s">
        <v>652</v>
      </c>
      <c r="I91">
        <v>55</v>
      </c>
      <c r="J91" t="s">
        <v>881</v>
      </c>
    </row>
    <row r="92" spans="1:11" x14ac:dyDescent="0.45">
      <c r="A92" t="s">
        <v>220</v>
      </c>
      <c r="B92" t="s">
        <v>137</v>
      </c>
      <c r="C92">
        <v>2</v>
      </c>
      <c r="D92" t="s">
        <v>100</v>
      </c>
      <c r="E92" t="s">
        <v>221</v>
      </c>
      <c r="F92" t="s">
        <v>44</v>
      </c>
      <c r="G92" t="s">
        <v>222</v>
      </c>
      <c r="H92">
        <v>127</v>
      </c>
      <c r="I92">
        <f>127*2</f>
        <v>254</v>
      </c>
      <c r="J92" t="s">
        <v>1256</v>
      </c>
    </row>
    <row r="93" spans="1:11" s="5" customFormat="1" x14ac:dyDescent="0.45">
      <c r="A93" s="5" t="s">
        <v>242</v>
      </c>
      <c r="B93" s="5" t="s">
        <v>246</v>
      </c>
      <c r="C93" s="5">
        <v>3</v>
      </c>
      <c r="D93" s="5" t="s">
        <v>243</v>
      </c>
      <c r="E93" s="5" t="s">
        <v>244</v>
      </c>
      <c r="F93" s="5" t="s">
        <v>245</v>
      </c>
      <c r="G93" s="5" t="s">
        <v>247</v>
      </c>
      <c r="H93" s="5" t="s">
        <v>248</v>
      </c>
      <c r="I93" s="5">
        <v>360</v>
      </c>
      <c r="J93" s="5" t="s">
        <v>831</v>
      </c>
    </row>
    <row r="94" spans="1:11" s="5" customFormat="1" x14ac:dyDescent="0.45">
      <c r="A94" s="5" t="s">
        <v>242</v>
      </c>
      <c r="B94" s="5" t="s">
        <v>246</v>
      </c>
      <c r="C94" s="5">
        <v>3</v>
      </c>
      <c r="D94" s="5" t="s">
        <v>243</v>
      </c>
      <c r="E94" s="5" t="s">
        <v>249</v>
      </c>
      <c r="F94" s="5" t="s">
        <v>245</v>
      </c>
      <c r="G94" s="5" t="s">
        <v>247</v>
      </c>
      <c r="H94" s="5" t="s">
        <v>248</v>
      </c>
      <c r="I94" s="5">
        <v>360</v>
      </c>
      <c r="J94" s="5" t="s">
        <v>823</v>
      </c>
    </row>
    <row r="95" spans="1:11" x14ac:dyDescent="0.45">
      <c r="A95" t="s">
        <v>272</v>
      </c>
      <c r="B95" t="s">
        <v>273</v>
      </c>
      <c r="C95">
        <v>1</v>
      </c>
      <c r="D95" t="s">
        <v>173</v>
      </c>
      <c r="E95" t="s">
        <v>274</v>
      </c>
      <c r="G95" t="s">
        <v>681</v>
      </c>
    </row>
    <row r="96" spans="1:11" x14ac:dyDescent="0.45">
      <c r="A96" t="s">
        <v>272</v>
      </c>
      <c r="B96" t="s">
        <v>273</v>
      </c>
      <c r="C96">
        <v>1</v>
      </c>
      <c r="D96" t="s">
        <v>173</v>
      </c>
    </row>
    <row r="97" spans="1:11" x14ac:dyDescent="0.45">
      <c r="A97" s="6" t="s">
        <v>228</v>
      </c>
    </row>
    <row r="98" spans="1:11" s="21" customFormat="1" x14ac:dyDescent="0.45">
      <c r="A98" s="21" t="s">
        <v>1253</v>
      </c>
      <c r="B98" s="21" t="s">
        <v>14</v>
      </c>
      <c r="C98" s="21" t="s">
        <v>641</v>
      </c>
      <c r="D98" s="21" t="s">
        <v>269</v>
      </c>
      <c r="E98" s="21" t="s">
        <v>1254</v>
      </c>
      <c r="J98" s="21" t="s">
        <v>1255</v>
      </c>
    </row>
    <row r="99" spans="1:11" s="21" customFormat="1" x14ac:dyDescent="0.45">
      <c r="A99" s="21" t="s">
        <v>90</v>
      </c>
      <c r="B99" s="21" t="s">
        <v>83</v>
      </c>
      <c r="C99" s="21" t="s">
        <v>1201</v>
      </c>
      <c r="D99" s="21" t="s">
        <v>91</v>
      </c>
      <c r="E99" s="21" t="s">
        <v>92</v>
      </c>
      <c r="F99" s="21" t="s">
        <v>93</v>
      </c>
      <c r="G99" s="21">
        <v>100</v>
      </c>
      <c r="H99" s="21">
        <v>440</v>
      </c>
      <c r="I99" s="21">
        <v>440</v>
      </c>
      <c r="K99" s="21" t="s">
        <v>1029</v>
      </c>
    </row>
    <row r="100" spans="1:11" s="21" customFormat="1" x14ac:dyDescent="0.45">
      <c r="A100" s="21" t="s">
        <v>90</v>
      </c>
      <c r="B100" s="21" t="s">
        <v>64</v>
      </c>
      <c r="C100" s="21" t="s">
        <v>1201</v>
      </c>
      <c r="D100" s="21" t="s">
        <v>91</v>
      </c>
      <c r="E100" s="21" t="s">
        <v>94</v>
      </c>
      <c r="F100" s="21" t="s">
        <v>93</v>
      </c>
      <c r="G100" s="21">
        <v>100</v>
      </c>
      <c r="H100" s="21">
        <v>440</v>
      </c>
      <c r="I100" s="21">
        <v>440</v>
      </c>
      <c r="K100" s="21" t="s">
        <v>1029</v>
      </c>
    </row>
    <row r="101" spans="1:11" s="21" customFormat="1" x14ac:dyDescent="0.45">
      <c r="A101" s="21" t="s">
        <v>721</v>
      </c>
      <c r="B101" s="21" t="s">
        <v>137</v>
      </c>
      <c r="C101" s="21" t="s">
        <v>1197</v>
      </c>
      <c r="D101" s="21" t="s">
        <v>722</v>
      </c>
      <c r="E101" s="21" t="s">
        <v>723</v>
      </c>
      <c r="F101" s="21" t="s">
        <v>44</v>
      </c>
      <c r="G101" s="21" t="s">
        <v>724</v>
      </c>
      <c r="I101" s="22" t="s">
        <v>728</v>
      </c>
      <c r="J101" s="21" t="s">
        <v>1275</v>
      </c>
    </row>
    <row r="102" spans="1:11" s="21" customFormat="1" x14ac:dyDescent="0.45">
      <c r="A102" s="21" t="s">
        <v>183</v>
      </c>
      <c r="B102" s="21" t="s">
        <v>184</v>
      </c>
      <c r="C102" s="21" t="s">
        <v>1202</v>
      </c>
      <c r="D102" s="21" t="s">
        <v>100</v>
      </c>
      <c r="E102" s="21" t="s">
        <v>433</v>
      </c>
      <c r="F102" s="21" t="s">
        <v>187</v>
      </c>
      <c r="G102" s="21" t="s">
        <v>4</v>
      </c>
      <c r="H102" s="21" t="s">
        <v>188</v>
      </c>
      <c r="I102" s="21">
        <f>0.4*219</f>
        <v>87.600000000000009</v>
      </c>
      <c r="J102" s="21" t="s">
        <v>229</v>
      </c>
    </row>
    <row r="103" spans="1:11" s="21" customFormat="1" x14ac:dyDescent="0.45">
      <c r="A103" s="21" t="s">
        <v>230</v>
      </c>
      <c r="B103" s="21" t="s">
        <v>14</v>
      </c>
      <c r="D103" s="21" t="s">
        <v>231</v>
      </c>
      <c r="E103" s="21" t="s">
        <v>232</v>
      </c>
      <c r="F103" s="21" t="s">
        <v>234</v>
      </c>
      <c r="J103" s="21" t="s">
        <v>233</v>
      </c>
    </row>
    <row r="104" spans="1:11" x14ac:dyDescent="0.45">
      <c r="A104" t="s">
        <v>694</v>
      </c>
      <c r="B104">
        <v>3</v>
      </c>
      <c r="C104">
        <v>0.75</v>
      </c>
      <c r="D104" t="s">
        <v>695</v>
      </c>
      <c r="E104" t="s">
        <v>937</v>
      </c>
      <c r="F104" t="s">
        <v>696</v>
      </c>
      <c r="G104" t="s">
        <v>697</v>
      </c>
      <c r="H104" t="s">
        <v>698</v>
      </c>
      <c r="I104" s="21" t="s">
        <v>1186</v>
      </c>
      <c r="J104" t="s">
        <v>1173</v>
      </c>
    </row>
    <row r="105" spans="1:11" x14ac:dyDescent="0.45">
      <c r="A105" t="s">
        <v>235</v>
      </c>
      <c r="I105" s="17"/>
    </row>
    <row r="106" spans="1:11" x14ac:dyDescent="0.45">
      <c r="A106" t="s">
        <v>236</v>
      </c>
      <c r="I106" s="17"/>
    </row>
    <row r="107" spans="1:11" x14ac:dyDescent="0.45">
      <c r="A107" t="s">
        <v>250</v>
      </c>
      <c r="B107" t="s">
        <v>251</v>
      </c>
      <c r="C107">
        <f>1.1/3.52</f>
        <v>0.3125</v>
      </c>
      <c r="D107" t="s">
        <v>252</v>
      </c>
      <c r="E107" t="s">
        <v>253</v>
      </c>
      <c r="F107" t="s">
        <v>254</v>
      </c>
      <c r="G107" t="s">
        <v>255</v>
      </c>
      <c r="H107" t="s">
        <v>256</v>
      </c>
      <c r="I107" s="22">
        <f>197*C107</f>
        <v>61.5625</v>
      </c>
      <c r="J107" t="s">
        <v>1174</v>
      </c>
    </row>
    <row r="108" spans="1:11" s="5" customFormat="1" x14ac:dyDescent="0.45">
      <c r="A108" s="5" t="s">
        <v>172</v>
      </c>
      <c r="B108" s="5" t="s">
        <v>14</v>
      </c>
      <c r="C108" s="5">
        <v>0.5</v>
      </c>
      <c r="D108" s="5" t="s">
        <v>173</v>
      </c>
      <c r="E108" s="5" t="s">
        <v>174</v>
      </c>
      <c r="J108" s="5" t="s">
        <v>1008</v>
      </c>
    </row>
    <row r="109" spans="1:11" x14ac:dyDescent="0.45">
      <c r="A109" t="s">
        <v>162</v>
      </c>
      <c r="B109" t="s">
        <v>14</v>
      </c>
      <c r="C109">
        <v>0.75</v>
      </c>
      <c r="D109" t="s">
        <v>96</v>
      </c>
      <c r="E109" t="s">
        <v>699</v>
      </c>
      <c r="F109" t="s">
        <v>702</v>
      </c>
      <c r="G109" t="s">
        <v>703</v>
      </c>
      <c r="H109">
        <v>335</v>
      </c>
      <c r="I109" s="17"/>
      <c r="J109" t="s">
        <v>161</v>
      </c>
    </row>
    <row r="110" spans="1:11" x14ac:dyDescent="0.45">
      <c r="A110" t="s">
        <v>162</v>
      </c>
      <c r="B110" t="s">
        <v>14</v>
      </c>
      <c r="C110" t="s">
        <v>700</v>
      </c>
      <c r="D110" t="s">
        <v>96</v>
      </c>
      <c r="E110" t="s">
        <v>701</v>
      </c>
      <c r="F110" t="s">
        <v>702</v>
      </c>
      <c r="G110" t="s">
        <v>703</v>
      </c>
      <c r="H110">
        <v>335</v>
      </c>
      <c r="I110" s="17"/>
      <c r="J110" t="s">
        <v>161</v>
      </c>
    </row>
    <row r="111" spans="1:11" x14ac:dyDescent="0.45">
      <c r="A111" t="s">
        <v>390</v>
      </c>
      <c r="B111" t="s">
        <v>391</v>
      </c>
      <c r="C111" t="s">
        <v>534</v>
      </c>
      <c r="D111" t="s">
        <v>269</v>
      </c>
      <c r="E111" t="s">
        <v>392</v>
      </c>
      <c r="H111" s="3" t="s">
        <v>393</v>
      </c>
      <c r="I111" s="17"/>
      <c r="J111" t="s">
        <v>535</v>
      </c>
    </row>
    <row r="112" spans="1:11" x14ac:dyDescent="0.45">
      <c r="A112" t="s">
        <v>122</v>
      </c>
      <c r="B112" t="s">
        <v>14</v>
      </c>
      <c r="C112" t="s">
        <v>641</v>
      </c>
      <c r="D112" t="s">
        <v>123</v>
      </c>
      <c r="E112" t="s">
        <v>682</v>
      </c>
      <c r="F112" t="s">
        <v>683</v>
      </c>
      <c r="G112" t="s">
        <v>684</v>
      </c>
      <c r="H112" t="s">
        <v>685</v>
      </c>
      <c r="I112" s="21" t="s">
        <v>1185</v>
      </c>
      <c r="J112" t="s">
        <v>640</v>
      </c>
    </row>
    <row r="113" spans="1:12" s="5" customFormat="1" x14ac:dyDescent="0.45">
      <c r="A113" s="5" t="s">
        <v>122</v>
      </c>
      <c r="B113" s="5" t="s">
        <v>14</v>
      </c>
      <c r="C113" s="5" t="s">
        <v>686</v>
      </c>
      <c r="D113" s="5" t="s">
        <v>123</v>
      </c>
      <c r="E113" s="5" t="s">
        <v>687</v>
      </c>
      <c r="F113" s="5" t="s">
        <v>683</v>
      </c>
      <c r="G113" s="5" t="s">
        <v>684</v>
      </c>
      <c r="H113" s="5" t="s">
        <v>685</v>
      </c>
      <c r="I113" s="17"/>
      <c r="J113" s="5" t="s">
        <v>872</v>
      </c>
    </row>
    <row r="114" spans="1:12" s="21" customFormat="1" x14ac:dyDescent="0.45">
      <c r="A114" s="21" t="s">
        <v>27</v>
      </c>
      <c r="B114" s="21" t="s">
        <v>83</v>
      </c>
      <c r="C114" s="21" t="s">
        <v>641</v>
      </c>
      <c r="D114" s="21" t="s">
        <v>29</v>
      </c>
      <c r="E114" s="21" t="s">
        <v>84</v>
      </c>
      <c r="F114" s="21" t="s">
        <v>30</v>
      </c>
      <c r="G114" s="21" t="s">
        <v>31</v>
      </c>
      <c r="H114" s="21" t="s">
        <v>32</v>
      </c>
      <c r="I114" s="22" t="s">
        <v>1182</v>
      </c>
      <c r="J114" s="21" t="s">
        <v>1252</v>
      </c>
    </row>
    <row r="115" spans="1:12" s="21" customFormat="1" x14ac:dyDescent="0.45">
      <c r="A115" s="21" t="s">
        <v>1175</v>
      </c>
      <c r="B115" s="21" t="s">
        <v>83</v>
      </c>
      <c r="C115" s="21" t="s">
        <v>1176</v>
      </c>
      <c r="D115" s="21" t="s">
        <v>1177</v>
      </c>
      <c r="E115" s="21" t="s">
        <v>1178</v>
      </c>
      <c r="I115" s="22" t="s">
        <v>1183</v>
      </c>
      <c r="J115" s="21" t="s">
        <v>1187</v>
      </c>
    </row>
    <row r="116" spans="1:12" x14ac:dyDescent="0.45">
      <c r="A116" t="s">
        <v>257</v>
      </c>
      <c r="B116" t="s">
        <v>246</v>
      </c>
      <c r="C116" t="s">
        <v>641</v>
      </c>
      <c r="D116" t="s">
        <v>258</v>
      </c>
      <c r="E116" t="s">
        <v>277</v>
      </c>
      <c r="F116" t="s">
        <v>259</v>
      </c>
      <c r="G116">
        <v>100</v>
      </c>
      <c r="H116">
        <v>120</v>
      </c>
      <c r="I116" t="s">
        <v>1184</v>
      </c>
      <c r="J116" t="s">
        <v>552</v>
      </c>
      <c r="L116" t="s">
        <v>806</v>
      </c>
    </row>
    <row r="117" spans="1:12" s="21" customFormat="1" x14ac:dyDescent="0.45">
      <c r="A117" s="21" t="s">
        <v>704</v>
      </c>
      <c r="B117" s="21" t="s">
        <v>184</v>
      </c>
      <c r="C117" s="21">
        <v>3</v>
      </c>
      <c r="D117" s="21" t="s">
        <v>96</v>
      </c>
      <c r="E117" s="21" t="s">
        <v>1180</v>
      </c>
      <c r="F117" s="21" t="s">
        <v>706</v>
      </c>
      <c r="G117" s="21">
        <v>100</v>
      </c>
      <c r="H117" s="21">
        <v>210</v>
      </c>
      <c r="I117" s="21" t="s">
        <v>1181</v>
      </c>
      <c r="J117" s="21" t="s">
        <v>1179</v>
      </c>
    </row>
    <row r="119" spans="1:12" x14ac:dyDescent="0.45">
      <c r="A119" s="6" t="s">
        <v>560</v>
      </c>
    </row>
    <row r="120" spans="1:12" x14ac:dyDescent="0.45">
      <c r="A120" t="s">
        <v>237</v>
      </c>
      <c r="B120" t="s">
        <v>184</v>
      </c>
      <c r="C120">
        <v>1</v>
      </c>
      <c r="D120" t="s">
        <v>100</v>
      </c>
      <c r="E120" t="s">
        <v>238</v>
      </c>
      <c r="F120" t="s">
        <v>239</v>
      </c>
      <c r="G120" t="s">
        <v>240</v>
      </c>
      <c r="H120" t="s">
        <v>241</v>
      </c>
      <c r="I120">
        <v>128</v>
      </c>
      <c r="J120" t="s">
        <v>536</v>
      </c>
    </row>
    <row r="121" spans="1:12" x14ac:dyDescent="0.45">
      <c r="A121" t="s">
        <v>260</v>
      </c>
      <c r="B121" t="s">
        <v>261</v>
      </c>
      <c r="C121">
        <v>1</v>
      </c>
      <c r="D121" t="s">
        <v>262</v>
      </c>
      <c r="E121" t="s">
        <v>263</v>
      </c>
      <c r="F121" t="s">
        <v>264</v>
      </c>
      <c r="G121" t="s">
        <v>265</v>
      </c>
      <c r="H121" t="s">
        <v>266</v>
      </c>
      <c r="I121">
        <v>154</v>
      </c>
      <c r="J121" t="s">
        <v>536</v>
      </c>
    </row>
    <row r="122" spans="1:12" x14ac:dyDescent="0.45">
      <c r="A122" t="s">
        <v>844</v>
      </c>
      <c r="B122" t="s">
        <v>132</v>
      </c>
      <c r="C122">
        <v>1</v>
      </c>
      <c r="D122" t="s">
        <v>133</v>
      </c>
      <c r="E122" t="s">
        <v>276</v>
      </c>
      <c r="F122" t="s">
        <v>134</v>
      </c>
      <c r="G122" t="s">
        <v>135</v>
      </c>
      <c r="H122">
        <v>544</v>
      </c>
      <c r="I122">
        <v>544</v>
      </c>
      <c r="J122" t="s">
        <v>585</v>
      </c>
      <c r="K122" t="s">
        <v>564</v>
      </c>
    </row>
    <row r="123" spans="1:12" x14ac:dyDescent="0.45">
      <c r="A123" s="4" t="s">
        <v>0</v>
      </c>
      <c r="C123">
        <v>19</v>
      </c>
      <c r="D123" t="s">
        <v>10</v>
      </c>
      <c r="E123" t="s">
        <v>1</v>
      </c>
      <c r="F123" t="s">
        <v>3</v>
      </c>
      <c r="G123" t="s">
        <v>4</v>
      </c>
      <c r="H123" t="s">
        <v>6</v>
      </c>
      <c r="I123">
        <f>220*9</f>
        <v>1980</v>
      </c>
      <c r="J123" t="s">
        <v>584</v>
      </c>
    </row>
    <row r="124" spans="1:12" x14ac:dyDescent="0.45">
      <c r="A124" t="s">
        <v>267</v>
      </c>
      <c r="B124" t="s">
        <v>268</v>
      </c>
      <c r="C124">
        <v>1</v>
      </c>
      <c r="D124" t="s">
        <v>269</v>
      </c>
      <c r="E124" t="s">
        <v>270</v>
      </c>
      <c r="G124">
        <v>114</v>
      </c>
      <c r="J124" t="s">
        <v>627</v>
      </c>
    </row>
    <row r="125" spans="1:12" x14ac:dyDescent="0.45">
      <c r="A125" t="s">
        <v>267</v>
      </c>
      <c r="B125" t="s">
        <v>268</v>
      </c>
      <c r="C125">
        <v>1</v>
      </c>
      <c r="D125" t="s">
        <v>269</v>
      </c>
      <c r="E125" t="s">
        <v>271</v>
      </c>
      <c r="G125">
        <v>114</v>
      </c>
      <c r="J125" t="s">
        <v>628</v>
      </c>
    </row>
    <row r="126" spans="1:12" x14ac:dyDescent="0.45">
      <c r="A126" t="s">
        <v>208</v>
      </c>
      <c r="B126" t="s">
        <v>209</v>
      </c>
      <c r="C126">
        <v>1</v>
      </c>
      <c r="D126" t="s">
        <v>210</v>
      </c>
      <c r="E126" t="s">
        <v>211</v>
      </c>
      <c r="F126" t="s">
        <v>212</v>
      </c>
      <c r="G126">
        <v>100</v>
      </c>
      <c r="H126">
        <v>140</v>
      </c>
      <c r="I126">
        <v>140</v>
      </c>
      <c r="J126" t="s">
        <v>882</v>
      </c>
    </row>
    <row r="127" spans="1:12" x14ac:dyDescent="0.45">
      <c r="A127" t="s">
        <v>642</v>
      </c>
      <c r="B127" t="s">
        <v>184</v>
      </c>
      <c r="C127" t="s">
        <v>643</v>
      </c>
      <c r="E127" t="s">
        <v>644</v>
      </c>
      <c r="J127" t="s">
        <v>645</v>
      </c>
    </row>
    <row r="128" spans="1:12" s="21" customFormat="1" x14ac:dyDescent="0.45">
      <c r="A128" s="23" t="s">
        <v>862</v>
      </c>
      <c r="B128" s="21" t="s">
        <v>438</v>
      </c>
      <c r="C128" s="21">
        <v>5</v>
      </c>
      <c r="D128" s="21" t="s">
        <v>865</v>
      </c>
      <c r="E128" s="21" t="s">
        <v>863</v>
      </c>
      <c r="F128" s="21" t="s">
        <v>864</v>
      </c>
      <c r="G128" s="21">
        <v>50</v>
      </c>
      <c r="H128" s="21">
        <v>109</v>
      </c>
      <c r="I128" s="21">
        <f>109*5</f>
        <v>545</v>
      </c>
      <c r="J128" s="21" t="s">
        <v>1171</v>
      </c>
    </row>
    <row r="129" spans="1:11" x14ac:dyDescent="0.45">
      <c r="A129" t="s">
        <v>57</v>
      </c>
      <c r="B129" t="s">
        <v>77</v>
      </c>
      <c r="C129">
        <v>0.5</v>
      </c>
      <c r="D129" t="s">
        <v>58</v>
      </c>
      <c r="E129" t="s">
        <v>690</v>
      </c>
      <c r="F129" t="s">
        <v>691</v>
      </c>
      <c r="H129">
        <v>4</v>
      </c>
      <c r="I129">
        <v>250</v>
      </c>
      <c r="J129" t="s">
        <v>692</v>
      </c>
    </row>
    <row r="130" spans="1:11" x14ac:dyDescent="0.45">
      <c r="A130" t="s">
        <v>57</v>
      </c>
      <c r="B130">
        <v>3</v>
      </c>
      <c r="C130">
        <v>1.7</v>
      </c>
      <c r="D130" t="s">
        <v>58</v>
      </c>
      <c r="E130" t="s">
        <v>693</v>
      </c>
      <c r="F130" t="s">
        <v>691</v>
      </c>
      <c r="H130">
        <v>4</v>
      </c>
      <c r="I130">
        <v>250</v>
      </c>
      <c r="J130" t="s">
        <v>817</v>
      </c>
    </row>
    <row r="131" spans="1:11" s="21" customFormat="1" x14ac:dyDescent="0.45">
      <c r="A131" s="21" t="s">
        <v>79</v>
      </c>
      <c r="B131" s="21" t="s">
        <v>565</v>
      </c>
      <c r="C131" s="21">
        <v>4</v>
      </c>
      <c r="D131" s="21" t="s">
        <v>80</v>
      </c>
      <c r="E131" s="21" t="s">
        <v>81</v>
      </c>
      <c r="F131" s="21" t="s">
        <v>82</v>
      </c>
      <c r="G131" s="21">
        <v>50</v>
      </c>
      <c r="H131" s="21">
        <v>62</v>
      </c>
      <c r="I131" s="21">
        <v>248</v>
      </c>
      <c r="J131" s="21" t="s">
        <v>1160</v>
      </c>
    </row>
    <row r="132" spans="1:11" x14ac:dyDescent="0.45">
      <c r="A132" t="s">
        <v>725</v>
      </c>
      <c r="B132" t="s">
        <v>137</v>
      </c>
      <c r="C132">
        <v>2</v>
      </c>
      <c r="D132" t="s">
        <v>726</v>
      </c>
      <c r="E132" t="s">
        <v>727</v>
      </c>
      <c r="F132" t="s">
        <v>44</v>
      </c>
      <c r="G132" t="s">
        <v>724</v>
      </c>
      <c r="I132" s="18" t="s">
        <v>1172</v>
      </c>
      <c r="J132" t="s">
        <v>1164</v>
      </c>
    </row>
    <row r="133" spans="1:11" s="21" customFormat="1" x14ac:dyDescent="0.45">
      <c r="A133" s="21" t="s">
        <v>663</v>
      </c>
      <c r="B133" s="21" t="s">
        <v>83</v>
      </c>
      <c r="C133" s="21">
        <v>1</v>
      </c>
      <c r="D133" s="21" t="s">
        <v>664</v>
      </c>
      <c r="E133" s="21" t="s">
        <v>665</v>
      </c>
      <c r="G133" s="21" t="s">
        <v>666</v>
      </c>
      <c r="I133" s="21" t="s">
        <v>1219</v>
      </c>
      <c r="J133" s="21" t="s">
        <v>1190</v>
      </c>
    </row>
    <row r="134" spans="1:11" x14ac:dyDescent="0.45">
      <c r="A134" t="s">
        <v>142</v>
      </c>
      <c r="B134" t="s">
        <v>137</v>
      </c>
      <c r="C134">
        <v>1</v>
      </c>
      <c r="D134" t="s">
        <v>10</v>
      </c>
      <c r="E134" t="s">
        <v>147</v>
      </c>
      <c r="F134" t="s">
        <v>144</v>
      </c>
      <c r="G134" t="s">
        <v>145</v>
      </c>
      <c r="H134">
        <v>146</v>
      </c>
      <c r="I134">
        <v>146</v>
      </c>
      <c r="K134">
        <v>8</v>
      </c>
    </row>
    <row r="135" spans="1:11" x14ac:dyDescent="0.45">
      <c r="A135" t="s">
        <v>142</v>
      </c>
      <c r="B135" t="s">
        <v>137</v>
      </c>
      <c r="C135">
        <v>1</v>
      </c>
      <c r="D135" t="s">
        <v>10</v>
      </c>
      <c r="E135" t="s">
        <v>148</v>
      </c>
      <c r="F135" t="s">
        <v>144</v>
      </c>
      <c r="G135" t="s">
        <v>145</v>
      </c>
      <c r="H135">
        <v>146</v>
      </c>
      <c r="I135">
        <v>146</v>
      </c>
      <c r="K135">
        <v>8</v>
      </c>
    </row>
    <row r="136" spans="1:11" x14ac:dyDescent="0.45">
      <c r="A136" t="s">
        <v>870</v>
      </c>
      <c r="B136" t="s">
        <v>137</v>
      </c>
      <c r="C136">
        <v>1</v>
      </c>
      <c r="D136" t="s">
        <v>664</v>
      </c>
      <c r="E136" t="s">
        <v>1203</v>
      </c>
      <c r="G136" t="s">
        <v>1204</v>
      </c>
      <c r="J136" t="s">
        <v>1205</v>
      </c>
    </row>
    <row r="137" spans="1:11" s="21" customFormat="1" x14ac:dyDescent="0.45">
      <c r="A137" s="21" t="s">
        <v>469</v>
      </c>
      <c r="B137" s="21" t="s">
        <v>83</v>
      </c>
      <c r="C137" s="21">
        <v>2</v>
      </c>
      <c r="E137" s="21" t="s">
        <v>1223</v>
      </c>
      <c r="J137" s="21" t="s">
        <v>1248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30D6-4FFA-49CF-80D2-B56AFA5D45E5}">
  <dimension ref="A1:T122"/>
  <sheetViews>
    <sheetView zoomScale="85" zoomScaleNormal="85" workbookViewId="0">
      <pane ySplit="1" topLeftCell="A34" activePane="bottomLeft" state="frozen"/>
      <selection pane="bottomLeft" activeCell="N53" sqref="N53"/>
    </sheetView>
  </sheetViews>
  <sheetFormatPr defaultRowHeight="14.25" x14ac:dyDescent="0.45"/>
  <cols>
    <col min="1" max="1" width="20.33203125" style="11" customWidth="1"/>
    <col min="2" max="2" width="21.86328125" style="11" customWidth="1"/>
    <col min="3" max="3" width="6.9296875" style="11" customWidth="1"/>
    <col min="4" max="4" width="14.06640625" style="11" customWidth="1"/>
    <col min="5" max="5" width="17.9296875" style="11" customWidth="1"/>
    <col min="6" max="6" width="7.73046875" style="11" customWidth="1"/>
    <col min="7" max="7" width="14.33203125" style="11" customWidth="1"/>
    <col min="8" max="8" width="11.06640625" style="11" customWidth="1"/>
    <col min="9" max="9" width="13.59765625" style="11" customWidth="1"/>
    <col min="10" max="10" width="10.53125" style="11" customWidth="1"/>
    <col min="11" max="11" width="13.06640625" style="11" customWidth="1"/>
    <col min="12" max="12" width="29.19921875" style="11" customWidth="1"/>
    <col min="13" max="13" width="22.73046875" style="11" customWidth="1"/>
    <col min="14" max="16384" width="9.06640625" style="11"/>
  </cols>
  <sheetData>
    <row r="1" spans="1:20" x14ac:dyDescent="0.45">
      <c r="A1" s="11" t="s">
        <v>8</v>
      </c>
      <c r="B1" s="11" t="s">
        <v>300</v>
      </c>
      <c r="C1" s="11" t="s">
        <v>281</v>
      </c>
      <c r="D1" s="11" t="s">
        <v>12</v>
      </c>
      <c r="E1" s="11" t="s">
        <v>310</v>
      </c>
      <c r="F1" s="11" t="s">
        <v>11</v>
      </c>
      <c r="G1" s="11" t="s">
        <v>287</v>
      </c>
      <c r="H1" s="11" t="s">
        <v>278</v>
      </c>
      <c r="I1" s="11" t="s">
        <v>279</v>
      </c>
      <c r="J1" s="11" t="s">
        <v>286</v>
      </c>
      <c r="K1" s="11" t="s">
        <v>288</v>
      </c>
      <c r="L1" s="11" t="s">
        <v>280</v>
      </c>
      <c r="M1" s="11" t="s">
        <v>282</v>
      </c>
    </row>
    <row r="2" spans="1:20" x14ac:dyDescent="0.45">
      <c r="A2" s="11" t="s">
        <v>615</v>
      </c>
      <c r="C2" s="11">
        <v>3.25</v>
      </c>
      <c r="E2" s="11" t="s">
        <v>616</v>
      </c>
      <c r="F2" s="11" t="s">
        <v>617</v>
      </c>
      <c r="G2" s="11" t="s">
        <v>618</v>
      </c>
      <c r="H2" s="11" t="s">
        <v>619</v>
      </c>
      <c r="I2" s="11" t="s">
        <v>502</v>
      </c>
      <c r="J2" s="11" t="s">
        <v>620</v>
      </c>
      <c r="L2" s="11" t="s">
        <v>606</v>
      </c>
      <c r="M2" s="11" t="s">
        <v>621</v>
      </c>
      <c r="Q2" s="11" t="s">
        <v>622</v>
      </c>
    </row>
    <row r="3" spans="1:20" s="19" customFormat="1" x14ac:dyDescent="0.45">
      <c r="A3" s="19" t="s">
        <v>434</v>
      </c>
      <c r="B3" s="19" t="s">
        <v>435</v>
      </c>
      <c r="C3" s="19">
        <v>5</v>
      </c>
      <c r="D3" s="19" t="s">
        <v>438</v>
      </c>
      <c r="E3" s="19" t="s">
        <v>437</v>
      </c>
      <c r="F3" s="19" t="s">
        <v>439</v>
      </c>
      <c r="G3" s="19">
        <v>160</v>
      </c>
      <c r="H3" s="19" t="s">
        <v>436</v>
      </c>
      <c r="I3" s="19" t="s">
        <v>284</v>
      </c>
      <c r="J3" s="19">
        <v>17</v>
      </c>
      <c r="L3" s="19" t="s">
        <v>440</v>
      </c>
      <c r="M3" s="19" t="s">
        <v>441</v>
      </c>
      <c r="N3" s="19" t="s">
        <v>1194</v>
      </c>
    </row>
    <row r="4" spans="1:20" x14ac:dyDescent="0.45">
      <c r="A4" s="11" t="s">
        <v>1051</v>
      </c>
      <c r="B4" s="11" t="s">
        <v>1052</v>
      </c>
      <c r="C4" s="11" t="s">
        <v>950</v>
      </c>
      <c r="D4" s="11" t="s">
        <v>13</v>
      </c>
      <c r="E4" s="11" t="s">
        <v>1206</v>
      </c>
      <c r="F4" s="11" t="s">
        <v>1094</v>
      </c>
      <c r="G4" s="11" t="s">
        <v>1207</v>
      </c>
      <c r="H4" s="11" t="s">
        <v>100</v>
      </c>
      <c r="I4" s="11" t="s">
        <v>1208</v>
      </c>
      <c r="J4" s="11" t="s">
        <v>1209</v>
      </c>
      <c r="L4" s="11" t="s">
        <v>1140</v>
      </c>
      <c r="M4" s="11" t="s">
        <v>1210</v>
      </c>
    </row>
    <row r="5" spans="1:20" x14ac:dyDescent="0.45">
      <c r="A5" s="11" t="s">
        <v>744</v>
      </c>
      <c r="B5" s="11" t="s">
        <v>765</v>
      </c>
      <c r="C5" s="11">
        <v>5</v>
      </c>
      <c r="D5" s="11" t="s">
        <v>184</v>
      </c>
      <c r="H5" s="11" t="s">
        <v>42</v>
      </c>
      <c r="I5" s="11" t="s">
        <v>601</v>
      </c>
      <c r="J5" s="11" t="s">
        <v>766</v>
      </c>
      <c r="M5" s="11" t="s">
        <v>961</v>
      </c>
      <c r="N5" s="11" t="s">
        <v>880</v>
      </c>
    </row>
    <row r="6" spans="1:20" x14ac:dyDescent="0.45">
      <c r="A6" s="11" t="s">
        <v>758</v>
      </c>
      <c r="B6" s="11" t="s">
        <v>759</v>
      </c>
    </row>
    <row r="7" spans="1:20" x14ac:dyDescent="0.45">
      <c r="A7" s="11" t="s">
        <v>506</v>
      </c>
      <c r="B7" s="11" t="s">
        <v>507</v>
      </c>
      <c r="C7" s="11" t="s">
        <v>508</v>
      </c>
      <c r="D7" s="11" t="s">
        <v>509</v>
      </c>
      <c r="E7" s="11" t="s">
        <v>510</v>
      </c>
      <c r="F7" s="11">
        <v>4</v>
      </c>
      <c r="G7" s="11" t="s">
        <v>511</v>
      </c>
      <c r="H7" s="11" t="s">
        <v>512</v>
      </c>
      <c r="I7" s="11" t="s">
        <v>513</v>
      </c>
      <c r="J7" s="11" t="s">
        <v>514</v>
      </c>
      <c r="L7" s="11" t="s">
        <v>515</v>
      </c>
      <c r="M7" s="11" t="s">
        <v>517</v>
      </c>
      <c r="N7" s="11" t="s">
        <v>516</v>
      </c>
    </row>
    <row r="8" spans="1:20" s="12" customFormat="1" x14ac:dyDescent="0.45">
      <c r="A8" s="11" t="s">
        <v>450</v>
      </c>
      <c r="B8" s="11" t="s">
        <v>451</v>
      </c>
      <c r="C8" s="11" t="s">
        <v>452</v>
      </c>
      <c r="D8" s="11" t="s">
        <v>176</v>
      </c>
      <c r="E8" s="11" t="s">
        <v>453</v>
      </c>
      <c r="F8" s="11" t="s">
        <v>454</v>
      </c>
      <c r="G8" s="11" t="s">
        <v>989</v>
      </c>
      <c r="H8" s="11" t="s">
        <v>455</v>
      </c>
      <c r="I8" s="11" t="s">
        <v>284</v>
      </c>
      <c r="J8" s="11" t="s">
        <v>456</v>
      </c>
      <c r="K8" s="11"/>
      <c r="L8" s="11" t="s">
        <v>457</v>
      </c>
      <c r="M8" s="11" t="s">
        <v>458</v>
      </c>
      <c r="N8" s="11" t="s">
        <v>1167</v>
      </c>
      <c r="O8" s="11"/>
      <c r="P8" s="11"/>
      <c r="Q8" s="11"/>
      <c r="R8" s="11"/>
      <c r="S8" s="11"/>
      <c r="T8" s="11"/>
    </row>
    <row r="10" spans="1:20" x14ac:dyDescent="0.45">
      <c r="A10" s="12" t="s">
        <v>732</v>
      </c>
      <c r="B10" s="12" t="s">
        <v>771</v>
      </c>
      <c r="C10" s="12" t="s">
        <v>769</v>
      </c>
      <c r="D10" s="12" t="s">
        <v>14</v>
      </c>
      <c r="E10" s="12" t="s">
        <v>767</v>
      </c>
      <c r="F10" s="12" t="s">
        <v>768</v>
      </c>
      <c r="G10" s="12" t="s">
        <v>770</v>
      </c>
      <c r="H10" s="12" t="s">
        <v>772</v>
      </c>
      <c r="I10" s="12" t="s">
        <v>776</v>
      </c>
      <c r="J10" s="12" t="s">
        <v>774</v>
      </c>
      <c r="K10" s="12"/>
      <c r="L10" s="12" t="s">
        <v>773</v>
      </c>
      <c r="M10" s="12" t="s">
        <v>775</v>
      </c>
      <c r="N10" s="12"/>
      <c r="O10" s="12"/>
      <c r="P10" s="12"/>
      <c r="Q10" s="12"/>
      <c r="R10" s="12"/>
      <c r="S10" s="12"/>
      <c r="T10" s="12"/>
    </row>
    <row r="11" spans="1:20" x14ac:dyDescent="0.45">
      <c r="A11" s="11" t="s">
        <v>329</v>
      </c>
      <c r="B11" s="11" t="s">
        <v>337</v>
      </c>
      <c r="C11" s="11" t="s">
        <v>330</v>
      </c>
      <c r="D11" s="11" t="s">
        <v>315</v>
      </c>
      <c r="E11" s="11" t="s">
        <v>335</v>
      </c>
      <c r="F11" s="11" t="s">
        <v>332</v>
      </c>
      <c r="G11" s="11">
        <f>225*6</f>
        <v>1350</v>
      </c>
      <c r="H11" s="11" t="s">
        <v>333</v>
      </c>
      <c r="I11" s="11" t="s">
        <v>325</v>
      </c>
      <c r="J11" s="11" t="s">
        <v>338</v>
      </c>
      <c r="K11" s="11" t="s">
        <v>334</v>
      </c>
      <c r="L11" s="11" t="s">
        <v>339</v>
      </c>
      <c r="M11" s="11" t="s">
        <v>204</v>
      </c>
      <c r="N11" s="11" t="s">
        <v>331</v>
      </c>
    </row>
    <row r="12" spans="1:20" x14ac:dyDescent="0.45">
      <c r="A12" s="11" t="s">
        <v>301</v>
      </c>
      <c r="B12" s="11" t="s">
        <v>299</v>
      </c>
      <c r="C12" s="11" t="s">
        <v>285</v>
      </c>
      <c r="D12" s="11" t="s">
        <v>312</v>
      </c>
      <c r="E12" s="11" t="s">
        <v>309</v>
      </c>
      <c r="F12" s="11">
        <v>4</v>
      </c>
      <c r="G12" s="11">
        <f>138*4</f>
        <v>552</v>
      </c>
      <c r="H12" s="11" t="s">
        <v>269</v>
      </c>
      <c r="I12" s="11" t="s">
        <v>284</v>
      </c>
      <c r="J12" s="11">
        <v>11</v>
      </c>
      <c r="K12" s="11" t="s">
        <v>289</v>
      </c>
      <c r="L12" s="11" t="s">
        <v>290</v>
      </c>
      <c r="M12" s="11" t="s">
        <v>283</v>
      </c>
    </row>
    <row r="13" spans="1:20" x14ac:dyDescent="0.45">
      <c r="A13" s="11" t="s">
        <v>734</v>
      </c>
      <c r="B13" s="11" t="s">
        <v>777</v>
      </c>
      <c r="C13" s="11" t="s">
        <v>520</v>
      </c>
      <c r="D13" s="11" t="s">
        <v>778</v>
      </c>
      <c r="E13" s="11" t="s">
        <v>779</v>
      </c>
      <c r="F13" s="11" t="s">
        <v>781</v>
      </c>
      <c r="G13" s="11" t="s">
        <v>782</v>
      </c>
      <c r="H13" s="11" t="s">
        <v>783</v>
      </c>
      <c r="I13" s="11" t="s">
        <v>284</v>
      </c>
      <c r="J13" s="11" t="s">
        <v>784</v>
      </c>
      <c r="M13" s="11" t="s">
        <v>780</v>
      </c>
    </row>
    <row r="14" spans="1:20" x14ac:dyDescent="0.45">
      <c r="A14" s="11" t="s">
        <v>733</v>
      </c>
    </row>
    <row r="15" spans="1:20" x14ac:dyDescent="0.45">
      <c r="A15" s="11" t="s">
        <v>1033</v>
      </c>
      <c r="B15" s="11" t="s">
        <v>1034</v>
      </c>
      <c r="C15" s="11" t="s">
        <v>950</v>
      </c>
      <c r="D15" s="11" t="s">
        <v>20</v>
      </c>
      <c r="E15" s="11" t="s">
        <v>1065</v>
      </c>
      <c r="G15" s="11" t="s">
        <v>1217</v>
      </c>
      <c r="H15" s="11" t="s">
        <v>1067</v>
      </c>
      <c r="I15" s="11" t="s">
        <v>513</v>
      </c>
      <c r="J15" s="11" t="s">
        <v>1066</v>
      </c>
      <c r="L15" s="11" t="s">
        <v>1068</v>
      </c>
    </row>
    <row r="16" spans="1:20" x14ac:dyDescent="0.45">
      <c r="A16" s="11" t="s">
        <v>421</v>
      </c>
      <c r="B16" s="11" t="s">
        <v>422</v>
      </c>
      <c r="C16" s="11">
        <v>3.5</v>
      </c>
      <c r="D16" s="11" t="s">
        <v>423</v>
      </c>
      <c r="E16" s="11" t="s">
        <v>425</v>
      </c>
      <c r="F16" s="11">
        <v>4</v>
      </c>
      <c r="G16" s="11">
        <f>4*335</f>
        <v>1340</v>
      </c>
      <c r="H16" s="11" t="s">
        <v>96</v>
      </c>
      <c r="I16" s="11" t="s">
        <v>284</v>
      </c>
      <c r="J16" s="11" t="s">
        <v>426</v>
      </c>
      <c r="K16" s="11" t="s">
        <v>418</v>
      </c>
      <c r="L16" s="11" t="s">
        <v>427</v>
      </c>
      <c r="M16" s="11" t="s">
        <v>424</v>
      </c>
    </row>
    <row r="17" spans="1:20" x14ac:dyDescent="0.45">
      <c r="A17" s="11" t="s">
        <v>518</v>
      </c>
      <c r="B17" s="11" t="s">
        <v>519</v>
      </c>
      <c r="C17" s="11" t="s">
        <v>520</v>
      </c>
      <c r="D17" s="11" t="s">
        <v>176</v>
      </c>
      <c r="E17" s="11" t="s">
        <v>521</v>
      </c>
      <c r="F17" s="11">
        <v>4</v>
      </c>
      <c r="G17" s="11">
        <f>242*4</f>
        <v>968</v>
      </c>
      <c r="H17" s="11" t="s">
        <v>522</v>
      </c>
      <c r="I17" s="11" t="s">
        <v>284</v>
      </c>
      <c r="J17" s="11" t="s">
        <v>523</v>
      </c>
      <c r="K17" s="11" t="s">
        <v>524</v>
      </c>
      <c r="L17" s="11" t="s">
        <v>504</v>
      </c>
      <c r="M17" s="11" t="s">
        <v>525</v>
      </c>
    </row>
    <row r="18" spans="1:20" x14ac:dyDescent="0.45">
      <c r="A18" s="11" t="s">
        <v>904</v>
      </c>
      <c r="B18" s="11" t="s">
        <v>905</v>
      </c>
      <c r="C18" s="11">
        <v>6</v>
      </c>
      <c r="D18" s="11">
        <v>4</v>
      </c>
      <c r="E18" s="11" t="s">
        <v>906</v>
      </c>
      <c r="F18" s="11" t="s">
        <v>914</v>
      </c>
      <c r="G18" s="11" t="s">
        <v>907</v>
      </c>
      <c r="H18" s="11" t="s">
        <v>173</v>
      </c>
      <c r="I18" s="11" t="s">
        <v>513</v>
      </c>
      <c r="J18" s="11" t="s">
        <v>908</v>
      </c>
      <c r="K18" s="11" t="s">
        <v>634</v>
      </c>
      <c r="L18" s="11" t="s">
        <v>909</v>
      </c>
      <c r="M18" s="11" t="s">
        <v>910</v>
      </c>
      <c r="N18" s="11" t="s">
        <v>911</v>
      </c>
    </row>
    <row r="19" spans="1:20" s="12" customFormat="1" x14ac:dyDescent="0.45">
      <c r="A19" s="11" t="s">
        <v>538</v>
      </c>
      <c r="B19" s="11" t="s">
        <v>540</v>
      </c>
      <c r="C19" s="11"/>
      <c r="D19" s="11"/>
      <c r="E19" s="11"/>
      <c r="F19" s="11"/>
      <c r="G19" s="11"/>
      <c r="H19" s="11"/>
      <c r="I19" s="11"/>
      <c r="J19" s="11"/>
      <c r="K19" s="11"/>
      <c r="L19" s="11" t="s">
        <v>539</v>
      </c>
      <c r="M19" s="11"/>
      <c r="N19" s="11"/>
      <c r="O19" s="11"/>
      <c r="P19" s="11"/>
      <c r="Q19" s="11"/>
      <c r="R19" s="11"/>
      <c r="S19" s="11"/>
      <c r="T19" s="11"/>
    </row>
    <row r="20" spans="1:20" x14ac:dyDescent="0.45">
      <c r="A20" s="11" t="s">
        <v>381</v>
      </c>
      <c r="B20" s="11" t="s">
        <v>382</v>
      </c>
      <c r="C20" s="11" t="s">
        <v>383</v>
      </c>
      <c r="D20" s="11">
        <v>6</v>
      </c>
      <c r="E20" s="11" t="s">
        <v>387</v>
      </c>
      <c r="F20" s="11" t="s">
        <v>384</v>
      </c>
      <c r="G20" s="11" t="s">
        <v>388</v>
      </c>
      <c r="H20" s="11" t="s">
        <v>269</v>
      </c>
      <c r="I20" s="11" t="s">
        <v>284</v>
      </c>
      <c r="J20" s="11" t="s">
        <v>385</v>
      </c>
      <c r="K20" s="11">
        <v>2</v>
      </c>
      <c r="L20" s="11" t="s">
        <v>386</v>
      </c>
      <c r="M20" s="11" t="s">
        <v>389</v>
      </c>
    </row>
    <row r="21" spans="1:20" s="20" customFormat="1" x14ac:dyDescent="0.45">
      <c r="A21" s="20" t="s">
        <v>1037</v>
      </c>
      <c r="B21" s="20" t="s">
        <v>1038</v>
      </c>
      <c r="C21" s="20" t="s">
        <v>950</v>
      </c>
      <c r="D21" s="20" t="s">
        <v>1074</v>
      </c>
      <c r="E21" s="20" t="s">
        <v>1075</v>
      </c>
      <c r="G21" s="20" t="s">
        <v>1059</v>
      </c>
      <c r="H21" s="20" t="s">
        <v>269</v>
      </c>
      <c r="I21" s="20" t="s">
        <v>284</v>
      </c>
      <c r="J21" s="20" t="s">
        <v>1079</v>
      </c>
      <c r="L21" s="20" t="s">
        <v>1078</v>
      </c>
      <c r="M21" s="20" t="s">
        <v>1076</v>
      </c>
      <c r="N21" s="20" t="s">
        <v>1077</v>
      </c>
    </row>
    <row r="22" spans="1:20" x14ac:dyDescent="0.45">
      <c r="A22" s="11" t="s">
        <v>1228</v>
      </c>
    </row>
    <row r="23" spans="1:20" x14ac:dyDescent="0.45">
      <c r="A23" s="11" t="s">
        <v>374</v>
      </c>
      <c r="B23" s="11" t="s">
        <v>375</v>
      </c>
      <c r="C23" s="11">
        <v>4.5</v>
      </c>
      <c r="E23" s="11" t="s">
        <v>376</v>
      </c>
      <c r="F23" s="11">
        <v>3</v>
      </c>
      <c r="G23" s="11">
        <f>3*165</f>
        <v>495</v>
      </c>
      <c r="H23" s="11" t="s">
        <v>377</v>
      </c>
      <c r="I23" s="11" t="s">
        <v>362</v>
      </c>
      <c r="J23" s="11" t="s">
        <v>378</v>
      </c>
      <c r="K23" s="11">
        <v>4</v>
      </c>
      <c r="L23" s="11" t="s">
        <v>379</v>
      </c>
      <c r="M23" s="11" t="s">
        <v>380</v>
      </c>
    </row>
    <row r="24" spans="1:20" x14ac:dyDescent="0.45">
      <c r="A24" s="11" t="s">
        <v>755</v>
      </c>
      <c r="D24" s="11" t="s">
        <v>83</v>
      </c>
    </row>
    <row r="25" spans="1:20" x14ac:dyDescent="0.45">
      <c r="A25" s="11" t="s">
        <v>366</v>
      </c>
      <c r="B25" s="11" t="s">
        <v>367</v>
      </c>
      <c r="C25" s="11">
        <v>4.25</v>
      </c>
      <c r="D25" s="11" t="s">
        <v>311</v>
      </c>
      <c r="E25" s="11" t="s">
        <v>369</v>
      </c>
      <c r="F25" s="11">
        <v>9</v>
      </c>
      <c r="G25" s="11">
        <f>146*9</f>
        <v>1314</v>
      </c>
      <c r="H25" s="11" t="s">
        <v>368</v>
      </c>
      <c r="I25" s="11" t="s">
        <v>370</v>
      </c>
      <c r="J25" s="11" t="s">
        <v>371</v>
      </c>
      <c r="K25" s="11">
        <v>3</v>
      </c>
      <c r="L25" s="11" t="s">
        <v>372</v>
      </c>
      <c r="M25" s="11" t="s">
        <v>869</v>
      </c>
      <c r="T25" s="12"/>
    </row>
    <row r="26" spans="1:20" x14ac:dyDescent="0.45">
      <c r="A26" s="11" t="s">
        <v>735</v>
      </c>
      <c r="B26" s="11" t="s">
        <v>785</v>
      </c>
      <c r="C26" s="11">
        <v>3.5</v>
      </c>
      <c r="D26" s="11" t="s">
        <v>37</v>
      </c>
      <c r="E26" s="11" t="s">
        <v>786</v>
      </c>
      <c r="G26" s="11">
        <v>155</v>
      </c>
      <c r="H26" s="11" t="s">
        <v>787</v>
      </c>
      <c r="I26" s="11" t="s">
        <v>502</v>
      </c>
      <c r="J26" s="11" t="s">
        <v>789</v>
      </c>
      <c r="M26" s="11" t="s">
        <v>788</v>
      </c>
    </row>
    <row r="27" spans="1:20" s="19" customFormat="1" x14ac:dyDescent="0.45">
      <c r="A27" s="11" t="s">
        <v>756</v>
      </c>
      <c r="B27" s="11"/>
      <c r="C27" s="11"/>
      <c r="D27" s="11" t="s">
        <v>83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x14ac:dyDescent="0.45">
      <c r="A28" s="11" t="s">
        <v>404</v>
      </c>
      <c r="B28" s="11" t="s">
        <v>405</v>
      </c>
      <c r="C28" s="11">
        <v>3.75</v>
      </c>
      <c r="D28" s="11" t="s">
        <v>315</v>
      </c>
      <c r="E28" s="11" t="s">
        <v>406</v>
      </c>
      <c r="F28" s="11">
        <v>7</v>
      </c>
      <c r="G28" s="11">
        <f>306*7</f>
        <v>2142</v>
      </c>
      <c r="H28" s="11" t="s">
        <v>96</v>
      </c>
      <c r="I28" s="11" t="s">
        <v>407</v>
      </c>
      <c r="J28" s="11" t="s">
        <v>408</v>
      </c>
      <c r="K28" s="11" t="s">
        <v>409</v>
      </c>
      <c r="L28" s="11" t="s">
        <v>410</v>
      </c>
      <c r="M28" s="11" t="s">
        <v>411</v>
      </c>
      <c r="N28" s="11" t="s">
        <v>1030</v>
      </c>
    </row>
    <row r="29" spans="1:20" x14ac:dyDescent="0.45">
      <c r="A29" s="11" t="s">
        <v>757</v>
      </c>
    </row>
    <row r="30" spans="1:20" x14ac:dyDescent="0.45">
      <c r="A30" s="11" t="s">
        <v>900</v>
      </c>
      <c r="B30" s="11" t="s">
        <v>901</v>
      </c>
      <c r="C30" s="11" t="s">
        <v>888</v>
      </c>
      <c r="D30" s="11" t="s">
        <v>83</v>
      </c>
      <c r="E30" s="11" t="s">
        <v>889</v>
      </c>
      <c r="F30" s="11">
        <v>6</v>
      </c>
      <c r="G30" s="11" t="s">
        <v>899</v>
      </c>
      <c r="H30" s="11" t="s">
        <v>891</v>
      </c>
      <c r="I30" s="11" t="s">
        <v>530</v>
      </c>
      <c r="J30" s="11" t="s">
        <v>892</v>
      </c>
      <c r="L30" s="11" t="s">
        <v>893</v>
      </c>
      <c r="M30" s="11" t="s">
        <v>894</v>
      </c>
    </row>
    <row r="31" spans="1:20" s="12" customFormat="1" x14ac:dyDescent="0.45">
      <c r="A31" s="11" t="s">
        <v>895</v>
      </c>
      <c r="B31" s="11" t="s">
        <v>896</v>
      </c>
      <c r="C31" s="11" t="s">
        <v>888</v>
      </c>
      <c r="D31" s="11" t="s">
        <v>83</v>
      </c>
      <c r="E31" s="11" t="s">
        <v>889</v>
      </c>
      <c r="F31" s="11">
        <v>9</v>
      </c>
      <c r="G31" s="11" t="s">
        <v>890</v>
      </c>
      <c r="H31" s="11" t="s">
        <v>891</v>
      </c>
      <c r="I31" s="11" t="s">
        <v>530</v>
      </c>
      <c r="J31" s="11" t="s">
        <v>892</v>
      </c>
      <c r="K31" s="11"/>
      <c r="L31" s="11" t="s">
        <v>893</v>
      </c>
      <c r="M31" s="11" t="s">
        <v>894</v>
      </c>
      <c r="N31" s="11"/>
      <c r="O31" s="11"/>
      <c r="P31" s="11"/>
      <c r="Q31" s="11"/>
      <c r="R31" s="11"/>
      <c r="S31" s="11"/>
      <c r="T31" s="11"/>
    </row>
    <row r="32" spans="1:20" s="20" customFormat="1" x14ac:dyDescent="0.45">
      <c r="A32" s="11" t="s">
        <v>982</v>
      </c>
      <c r="B32" s="11" t="s">
        <v>983</v>
      </c>
      <c r="C32" s="11" t="s">
        <v>963</v>
      </c>
      <c r="D32" s="11" t="s">
        <v>913</v>
      </c>
      <c r="E32" s="11" t="s">
        <v>985</v>
      </c>
      <c r="F32" s="11" t="s">
        <v>834</v>
      </c>
      <c r="G32" s="11" t="s">
        <v>986</v>
      </c>
      <c r="H32" s="11"/>
      <c r="I32" s="11" t="s">
        <v>284</v>
      </c>
      <c r="J32" s="11"/>
      <c r="K32" s="11"/>
      <c r="L32" s="11"/>
      <c r="M32" s="11" t="s">
        <v>984</v>
      </c>
      <c r="N32" s="11"/>
      <c r="O32" s="11"/>
      <c r="P32" s="11"/>
      <c r="Q32" s="11"/>
      <c r="R32" s="11"/>
      <c r="S32" s="11"/>
      <c r="T32" s="11"/>
    </row>
    <row r="33" spans="1:20" s="14" customFormat="1" x14ac:dyDescent="0.45">
      <c r="A33" s="11" t="s">
        <v>762</v>
      </c>
      <c r="B33" s="11" t="s">
        <v>759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s="14" customFormat="1" x14ac:dyDescent="0.45">
      <c r="A34" s="11" t="s">
        <v>1239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x14ac:dyDescent="0.45">
      <c r="A35" s="11" t="s">
        <v>1032</v>
      </c>
      <c r="B35" s="11" t="s">
        <v>1056</v>
      </c>
      <c r="C35" s="11" t="s">
        <v>957</v>
      </c>
      <c r="D35" s="11" t="s">
        <v>37</v>
      </c>
      <c r="E35" s="11" t="s">
        <v>1061</v>
      </c>
      <c r="F35" s="11" t="s">
        <v>1058</v>
      </c>
      <c r="G35" s="11" t="s">
        <v>1059</v>
      </c>
      <c r="H35" s="11" t="s">
        <v>1060</v>
      </c>
      <c r="I35" s="11" t="s">
        <v>513</v>
      </c>
      <c r="J35" s="11" t="s">
        <v>1062</v>
      </c>
      <c r="K35" s="11" t="s">
        <v>1063</v>
      </c>
      <c r="L35" s="11" t="s">
        <v>1064</v>
      </c>
      <c r="M35" s="11" t="s">
        <v>1057</v>
      </c>
    </row>
    <row r="36" spans="1:20" x14ac:dyDescent="0.45">
      <c r="A36" s="11" t="s">
        <v>322</v>
      </c>
      <c r="B36" s="11" t="s">
        <v>323</v>
      </c>
      <c r="C36" s="11" t="s">
        <v>324</v>
      </c>
      <c r="D36" s="11" t="s">
        <v>336</v>
      </c>
      <c r="E36" s="11" t="s">
        <v>326</v>
      </c>
      <c r="F36" s="11">
        <v>10</v>
      </c>
      <c r="G36" s="11">
        <v>2180</v>
      </c>
      <c r="H36" s="11" t="s">
        <v>305</v>
      </c>
      <c r="I36" s="11" t="s">
        <v>325</v>
      </c>
      <c r="J36" s="11">
        <v>10</v>
      </c>
      <c r="L36" s="11" t="s">
        <v>327</v>
      </c>
      <c r="M36" s="11" t="s">
        <v>328</v>
      </c>
    </row>
    <row r="37" spans="1:20" x14ac:dyDescent="0.45">
      <c r="A37" s="19" t="s">
        <v>575</v>
      </c>
      <c r="B37" s="19" t="s">
        <v>576</v>
      </c>
      <c r="C37" s="19" t="s">
        <v>520</v>
      </c>
      <c r="D37" s="19" t="s">
        <v>578</v>
      </c>
      <c r="E37" s="19"/>
      <c r="F37" s="19" t="s">
        <v>579</v>
      </c>
      <c r="G37" s="19" t="s">
        <v>580</v>
      </c>
      <c r="H37" s="19" t="s">
        <v>581</v>
      </c>
      <c r="I37" s="19" t="s">
        <v>513</v>
      </c>
      <c r="J37" s="19" t="s">
        <v>577</v>
      </c>
      <c r="K37" s="19"/>
      <c r="L37" s="19" t="s">
        <v>573</v>
      </c>
      <c r="M37" s="19" t="s">
        <v>582</v>
      </c>
      <c r="N37" s="19"/>
      <c r="O37" s="19"/>
      <c r="P37" s="19" t="s">
        <v>623</v>
      </c>
      <c r="Q37" s="19"/>
      <c r="R37" s="19"/>
      <c r="S37" s="19" t="s">
        <v>626</v>
      </c>
      <c r="T37" s="19"/>
    </row>
    <row r="38" spans="1:20" s="20" customFormat="1" x14ac:dyDescent="0.45">
      <c r="A38" s="20" t="s">
        <v>1229</v>
      </c>
    </row>
    <row r="39" spans="1:20" s="20" customFormat="1" x14ac:dyDescent="0.45">
      <c r="A39" s="20" t="s">
        <v>1225</v>
      </c>
      <c r="B39" s="20" t="s">
        <v>1226</v>
      </c>
      <c r="D39" s="20" t="s">
        <v>1227</v>
      </c>
    </row>
    <row r="40" spans="1:20" s="12" customFormat="1" x14ac:dyDescent="0.45">
      <c r="A40" s="12" t="s">
        <v>824</v>
      </c>
      <c r="B40" s="12" t="s">
        <v>825</v>
      </c>
      <c r="C40" s="12" t="s">
        <v>829</v>
      </c>
      <c r="D40" s="12" t="s">
        <v>176</v>
      </c>
      <c r="E40" s="12" t="s">
        <v>827</v>
      </c>
      <c r="F40" s="12" t="s">
        <v>608</v>
      </c>
      <c r="G40" s="12" t="s">
        <v>828</v>
      </c>
      <c r="H40" s="12" t="s">
        <v>262</v>
      </c>
      <c r="I40" s="12" t="s">
        <v>284</v>
      </c>
      <c r="J40" s="12" t="s">
        <v>830</v>
      </c>
      <c r="L40" s="12" t="s">
        <v>826</v>
      </c>
      <c r="M40" s="12" t="s">
        <v>1006</v>
      </c>
    </row>
    <row r="41" spans="1:20" x14ac:dyDescent="0.45">
      <c r="A41" s="11" t="s">
        <v>1046</v>
      </c>
      <c r="B41" s="11" t="s">
        <v>1047</v>
      </c>
      <c r="C41" s="11" t="s">
        <v>950</v>
      </c>
      <c r="D41" s="11" t="s">
        <v>1114</v>
      </c>
      <c r="E41" s="11" t="s">
        <v>1118</v>
      </c>
      <c r="F41" s="11" t="s">
        <v>1120</v>
      </c>
      <c r="G41" s="11" t="s">
        <v>1119</v>
      </c>
      <c r="H41" s="11" t="s">
        <v>1113</v>
      </c>
      <c r="I41" s="11" t="s">
        <v>284</v>
      </c>
      <c r="J41" s="11" t="s">
        <v>1115</v>
      </c>
      <c r="L41" s="11" t="s">
        <v>1112</v>
      </c>
      <c r="M41" s="11" t="s">
        <v>1117</v>
      </c>
      <c r="N41" s="11" t="s">
        <v>1116</v>
      </c>
      <c r="T41" s="11" t="s">
        <v>1121</v>
      </c>
    </row>
    <row r="42" spans="1:20" s="19" customFormat="1" x14ac:dyDescent="0.45">
      <c r="A42" s="11" t="s">
        <v>886</v>
      </c>
      <c r="B42" s="11" t="s">
        <v>887</v>
      </c>
      <c r="C42" s="11" t="s">
        <v>888</v>
      </c>
      <c r="D42" s="11" t="s">
        <v>83</v>
      </c>
      <c r="E42" s="11" t="s">
        <v>889</v>
      </c>
      <c r="F42" s="11" t="s">
        <v>898</v>
      </c>
      <c r="G42" s="11" t="s">
        <v>897</v>
      </c>
      <c r="H42" s="11" t="s">
        <v>891</v>
      </c>
      <c r="I42" s="11" t="s">
        <v>530</v>
      </c>
      <c r="J42" s="11" t="s">
        <v>892</v>
      </c>
      <c r="K42" s="11"/>
      <c r="L42" s="11" t="s">
        <v>893</v>
      </c>
      <c r="M42" s="11" t="s">
        <v>894</v>
      </c>
      <c r="N42" s="11"/>
      <c r="O42" s="11"/>
      <c r="P42" s="11"/>
      <c r="Q42" s="11"/>
      <c r="R42" s="11"/>
      <c r="S42" s="11"/>
      <c r="T42" s="11"/>
    </row>
    <row r="43" spans="1:20" x14ac:dyDescent="0.45">
      <c r="A43" s="11" t="s">
        <v>470</v>
      </c>
      <c r="B43" s="11" t="s">
        <v>471</v>
      </c>
      <c r="C43" s="11" t="s">
        <v>472</v>
      </c>
      <c r="D43" s="11" t="s">
        <v>77</v>
      </c>
      <c r="L43" s="11" t="s">
        <v>487</v>
      </c>
      <c r="N43" s="11" t="s">
        <v>488</v>
      </c>
    </row>
    <row r="44" spans="1:20" s="19" customFormat="1" x14ac:dyDescent="0.45">
      <c r="A44" s="19" t="s">
        <v>490</v>
      </c>
      <c r="B44" s="19" t="s">
        <v>491</v>
      </c>
      <c r="D44" s="19" t="s">
        <v>14</v>
      </c>
      <c r="L44" s="19" t="s">
        <v>457</v>
      </c>
      <c r="M44" s="19" t="s">
        <v>492</v>
      </c>
      <c r="N44" s="19" t="s">
        <v>868</v>
      </c>
    </row>
    <row r="45" spans="1:20" x14ac:dyDescent="0.45">
      <c r="A45" s="11" t="s">
        <v>302</v>
      </c>
      <c r="B45" s="11" t="s">
        <v>298</v>
      </c>
      <c r="C45" s="11" t="s">
        <v>294</v>
      </c>
      <c r="D45" s="11" t="s">
        <v>312</v>
      </c>
      <c r="E45" s="11" t="s">
        <v>293</v>
      </c>
      <c r="F45" s="11">
        <v>5</v>
      </c>
      <c r="G45" s="11">
        <f>5*115</f>
        <v>575</v>
      </c>
      <c r="H45" s="11" t="s">
        <v>292</v>
      </c>
      <c r="I45" s="11" t="s">
        <v>284</v>
      </c>
      <c r="J45" s="11">
        <v>16</v>
      </c>
      <c r="K45" s="11" t="s">
        <v>289</v>
      </c>
      <c r="L45" s="11" t="s">
        <v>295</v>
      </c>
      <c r="M45" s="11" t="s">
        <v>291</v>
      </c>
    </row>
    <row r="46" spans="1:20" x14ac:dyDescent="0.45">
      <c r="A46" s="11" t="s">
        <v>1050</v>
      </c>
      <c r="B46" s="11" t="s">
        <v>1139</v>
      </c>
      <c r="D46" s="11" t="s">
        <v>14</v>
      </c>
      <c r="E46" s="11" t="s">
        <v>1142</v>
      </c>
      <c r="F46" s="11" t="s">
        <v>1143</v>
      </c>
      <c r="H46" s="11" t="s">
        <v>1141</v>
      </c>
      <c r="I46" s="11" t="s">
        <v>284</v>
      </c>
      <c r="L46" s="11" t="s">
        <v>1140</v>
      </c>
    </row>
    <row r="47" spans="1:20" x14ac:dyDescent="0.45">
      <c r="A47" s="11" t="s">
        <v>412</v>
      </c>
      <c r="B47" s="11" t="s">
        <v>413</v>
      </c>
      <c r="C47" s="11" t="s">
        <v>414</v>
      </c>
      <c r="D47" s="11" t="s">
        <v>415</v>
      </c>
      <c r="E47" s="11" t="s">
        <v>416</v>
      </c>
      <c r="F47" s="11">
        <v>11</v>
      </c>
      <c r="G47" s="11">
        <f>150*11</f>
        <v>1650</v>
      </c>
      <c r="H47" s="11" t="s">
        <v>100</v>
      </c>
      <c r="I47" s="11" t="s">
        <v>284</v>
      </c>
      <c r="J47" s="11" t="s">
        <v>417</v>
      </c>
      <c r="K47" s="11" t="s">
        <v>418</v>
      </c>
      <c r="L47" s="11" t="s">
        <v>419</v>
      </c>
      <c r="M47" s="11" t="s">
        <v>420</v>
      </c>
      <c r="T47" s="12"/>
    </row>
    <row r="48" spans="1:20" x14ac:dyDescent="0.45">
      <c r="A48" s="20" t="s">
        <v>753</v>
      </c>
      <c r="B48" s="20" t="s">
        <v>792</v>
      </c>
      <c r="C48" s="20" t="s">
        <v>791</v>
      </c>
      <c r="D48" s="20" t="s">
        <v>790</v>
      </c>
      <c r="E48" s="20" t="s">
        <v>796</v>
      </c>
      <c r="F48" s="20">
        <v>1</v>
      </c>
      <c r="G48" s="20" t="s">
        <v>797</v>
      </c>
      <c r="H48" s="20" t="s">
        <v>794</v>
      </c>
      <c r="I48" s="20" t="s">
        <v>284</v>
      </c>
      <c r="J48" s="20" t="s">
        <v>795</v>
      </c>
      <c r="K48" s="20"/>
      <c r="L48" s="20"/>
      <c r="M48" s="20" t="s">
        <v>793</v>
      </c>
      <c r="N48" s="20"/>
      <c r="O48" s="20"/>
      <c r="P48" s="20"/>
      <c r="Q48" s="20"/>
      <c r="R48" s="20"/>
      <c r="S48" s="20"/>
      <c r="T48" s="20"/>
    </row>
    <row r="49" spans="1:20" x14ac:dyDescent="0.45">
      <c r="A49" s="11" t="s">
        <v>763</v>
      </c>
      <c r="B49" s="11" t="s">
        <v>759</v>
      </c>
      <c r="N49" s="11" t="s">
        <v>764</v>
      </c>
      <c r="T49" s="14"/>
    </row>
    <row r="50" spans="1:20" x14ac:dyDescent="0.45">
      <c r="A50" s="11" t="s">
        <v>737</v>
      </c>
    </row>
    <row r="51" spans="1:20" x14ac:dyDescent="0.45">
      <c r="A51" s="11" t="s">
        <v>1230</v>
      </c>
    </row>
    <row r="52" spans="1:20" x14ac:dyDescent="0.45">
      <c r="A52" s="11" t="s">
        <v>731</v>
      </c>
      <c r="B52" s="11" t="s">
        <v>962</v>
      </c>
      <c r="C52" s="11" t="s">
        <v>963</v>
      </c>
      <c r="D52" s="11" t="s">
        <v>438</v>
      </c>
      <c r="E52" s="11" t="s">
        <v>967</v>
      </c>
      <c r="F52" s="11" t="s">
        <v>968</v>
      </c>
      <c r="G52" s="11" t="s">
        <v>965</v>
      </c>
      <c r="H52" s="11" t="s">
        <v>173</v>
      </c>
      <c r="I52" s="11" t="s">
        <v>284</v>
      </c>
      <c r="J52" s="11" t="s">
        <v>966</v>
      </c>
      <c r="K52" s="11" t="s">
        <v>634</v>
      </c>
      <c r="M52" s="11" t="s">
        <v>964</v>
      </c>
    </row>
    <row r="53" spans="1:20" x14ac:dyDescent="0.45">
      <c r="A53" s="11" t="s">
        <v>1128</v>
      </c>
      <c r="B53" s="11" t="s">
        <v>1123</v>
      </c>
      <c r="C53" s="11" t="s">
        <v>978</v>
      </c>
      <c r="D53" s="11" t="s">
        <v>14</v>
      </c>
      <c r="E53" s="11" t="s">
        <v>1124</v>
      </c>
      <c r="F53" s="11" t="s">
        <v>641</v>
      </c>
      <c r="I53" s="11" t="s">
        <v>502</v>
      </c>
      <c r="K53" s="11" t="s">
        <v>1125</v>
      </c>
      <c r="L53" s="11" t="s">
        <v>1126</v>
      </c>
      <c r="N53" s="11" t="s">
        <v>1127</v>
      </c>
    </row>
    <row r="54" spans="1:20" x14ac:dyDescent="0.45">
      <c r="A54" s="11" t="s">
        <v>1231</v>
      </c>
      <c r="B54" s="11" t="s">
        <v>1234</v>
      </c>
    </row>
    <row r="55" spans="1:20" x14ac:dyDescent="0.45">
      <c r="A55" s="11" t="s">
        <v>1232</v>
      </c>
      <c r="B55" s="11" t="s">
        <v>1233</v>
      </c>
    </row>
    <row r="56" spans="1:20" x14ac:dyDescent="0.45">
      <c r="A56" s="11" t="s">
        <v>736</v>
      </c>
      <c r="B56" s="11" t="s">
        <v>958</v>
      </c>
      <c r="C56" s="11" t="s">
        <v>950</v>
      </c>
      <c r="D56" s="11" t="s">
        <v>959</v>
      </c>
      <c r="I56" s="11" t="s">
        <v>513</v>
      </c>
      <c r="M56" s="11" t="s">
        <v>960</v>
      </c>
    </row>
    <row r="57" spans="1:20" x14ac:dyDescent="0.45">
      <c r="A57" s="12" t="s">
        <v>754</v>
      </c>
      <c r="B57" s="12" t="s">
        <v>800</v>
      </c>
      <c r="C57" s="12" t="s">
        <v>330</v>
      </c>
      <c r="D57" s="12" t="s">
        <v>798</v>
      </c>
      <c r="E57" s="12" t="s">
        <v>803</v>
      </c>
      <c r="F57" s="12"/>
      <c r="G57" s="12" t="s">
        <v>799</v>
      </c>
      <c r="H57" s="12" t="s">
        <v>801</v>
      </c>
      <c r="I57" s="12" t="s">
        <v>513</v>
      </c>
      <c r="J57" s="12" t="s">
        <v>802</v>
      </c>
      <c r="K57" s="12" t="s">
        <v>409</v>
      </c>
      <c r="L57" s="12"/>
      <c r="M57" s="12" t="s">
        <v>804</v>
      </c>
      <c r="N57" s="12"/>
      <c r="O57" s="12"/>
      <c r="P57" s="12" t="s">
        <v>1195</v>
      </c>
      <c r="Q57" s="12"/>
      <c r="R57" s="12"/>
      <c r="S57" s="12"/>
      <c r="T57" s="12"/>
    </row>
    <row r="58" spans="1:20" s="12" customFormat="1" x14ac:dyDescent="0.45">
      <c r="A58" s="11" t="s">
        <v>494</v>
      </c>
      <c r="B58" s="11" t="s">
        <v>976</v>
      </c>
      <c r="C58" s="11" t="s">
        <v>979</v>
      </c>
      <c r="D58" s="11" t="s">
        <v>14</v>
      </c>
      <c r="E58" s="11" t="s">
        <v>977</v>
      </c>
      <c r="F58" s="11" t="s">
        <v>978</v>
      </c>
      <c r="G58" s="11" t="s">
        <v>980</v>
      </c>
      <c r="H58" s="11" t="s">
        <v>269</v>
      </c>
      <c r="I58" s="11" t="s">
        <v>284</v>
      </c>
      <c r="J58" s="11" t="s">
        <v>981</v>
      </c>
      <c r="K58" s="11"/>
      <c r="L58" s="11" t="s">
        <v>443</v>
      </c>
      <c r="M58" s="11"/>
      <c r="N58" s="11"/>
      <c r="O58" s="11"/>
      <c r="P58" s="11"/>
      <c r="Q58" s="11"/>
      <c r="R58" s="11"/>
      <c r="S58" s="11"/>
      <c r="T58" s="11"/>
    </row>
    <row r="59" spans="1:20" s="20" customFormat="1" x14ac:dyDescent="0.45">
      <c r="A59" s="20" t="s">
        <v>1235</v>
      </c>
      <c r="B59" s="20" t="s">
        <v>1236</v>
      </c>
    </row>
    <row r="60" spans="1:20" x14ac:dyDescent="0.45">
      <c r="A60" s="19" t="s">
        <v>464</v>
      </c>
      <c r="B60" s="19" t="s">
        <v>465</v>
      </c>
      <c r="C60" s="19" t="s">
        <v>466</v>
      </c>
      <c r="D60" s="19" t="s">
        <v>14</v>
      </c>
      <c r="E60" s="19" t="s">
        <v>468</v>
      </c>
      <c r="F60" s="19">
        <v>14</v>
      </c>
      <c r="G60" s="19">
        <f>14*191</f>
        <v>2674</v>
      </c>
      <c r="H60" s="19" t="s">
        <v>269</v>
      </c>
      <c r="I60" s="19" t="s">
        <v>284</v>
      </c>
      <c r="J60" s="19" t="s">
        <v>467</v>
      </c>
      <c r="K60" s="19"/>
      <c r="L60" s="19" t="s">
        <v>443</v>
      </c>
      <c r="M60" s="19" t="s">
        <v>583</v>
      </c>
      <c r="N60" s="19"/>
      <c r="O60" s="19"/>
      <c r="P60" s="19"/>
      <c r="Q60" s="19"/>
      <c r="R60" s="19"/>
      <c r="S60" s="19"/>
      <c r="T60" s="19"/>
    </row>
    <row r="61" spans="1:20" x14ac:dyDescent="0.45">
      <c r="A61" s="11" t="s">
        <v>760</v>
      </c>
      <c r="B61" s="11" t="s">
        <v>759</v>
      </c>
    </row>
    <row r="62" spans="1:20" s="19" customFormat="1" x14ac:dyDescent="0.45">
      <c r="A62" s="11" t="s">
        <v>355</v>
      </c>
      <c r="B62" s="11" t="s">
        <v>356</v>
      </c>
      <c r="C62" s="11">
        <v>4</v>
      </c>
      <c r="D62" s="11" t="s">
        <v>357</v>
      </c>
      <c r="E62" s="11" t="s">
        <v>359</v>
      </c>
      <c r="F62" s="11" t="s">
        <v>360</v>
      </c>
      <c r="G62" s="11" t="s">
        <v>361</v>
      </c>
      <c r="H62" s="11" t="s">
        <v>358</v>
      </c>
      <c r="I62" s="11" t="s">
        <v>362</v>
      </c>
      <c r="J62" s="11" t="s">
        <v>363</v>
      </c>
      <c r="K62" s="11">
        <v>4</v>
      </c>
      <c r="L62" s="11" t="s">
        <v>364</v>
      </c>
      <c r="M62" s="11" t="s">
        <v>365</v>
      </c>
      <c r="N62" s="11"/>
      <c r="O62" s="11"/>
      <c r="P62" s="11"/>
      <c r="Q62" s="11"/>
      <c r="R62" s="11"/>
      <c r="S62" s="11"/>
      <c r="T62" s="11"/>
    </row>
    <row r="63" spans="1:20" s="12" customFormat="1" x14ac:dyDescent="0.45">
      <c r="A63" s="12" t="s">
        <v>912</v>
      </c>
      <c r="B63" s="12" t="s">
        <v>921</v>
      </c>
      <c r="C63" s="12">
        <v>4</v>
      </c>
      <c r="D63" s="12" t="s">
        <v>913</v>
      </c>
      <c r="E63" s="12" t="s">
        <v>293</v>
      </c>
      <c r="F63" s="12" t="s">
        <v>915</v>
      </c>
      <c r="G63" s="12" t="s">
        <v>916</v>
      </c>
      <c r="H63" s="12" t="s">
        <v>269</v>
      </c>
      <c r="I63" s="12" t="s">
        <v>284</v>
      </c>
      <c r="J63" s="12" t="s">
        <v>917</v>
      </c>
      <c r="L63" s="12" t="s">
        <v>1026</v>
      </c>
      <c r="M63" s="12" t="s">
        <v>918</v>
      </c>
      <c r="N63" s="12" t="s">
        <v>1017</v>
      </c>
      <c r="O63" s="12" t="s">
        <v>1027</v>
      </c>
    </row>
    <row r="64" spans="1:20" x14ac:dyDescent="0.45">
      <c r="A64" s="11" t="s">
        <v>1138</v>
      </c>
      <c r="B64" s="11" t="s">
        <v>1153</v>
      </c>
      <c r="C64" s="11" t="s">
        <v>1069</v>
      </c>
      <c r="D64" s="11" t="s">
        <v>72</v>
      </c>
      <c r="F64" s="11" t="s">
        <v>1094</v>
      </c>
      <c r="G64" s="11" t="s">
        <v>1154</v>
      </c>
      <c r="I64" s="11" t="s">
        <v>502</v>
      </c>
      <c r="J64" s="11" t="s">
        <v>1155</v>
      </c>
    </row>
    <row r="65" spans="1:20" s="19" customFormat="1" x14ac:dyDescent="0.45">
      <c r="A65" s="11" t="s">
        <v>553</v>
      </c>
      <c r="B65" s="11" t="s">
        <v>554</v>
      </c>
      <c r="C65" s="11" t="s">
        <v>330</v>
      </c>
      <c r="D65" s="11" t="s">
        <v>542</v>
      </c>
      <c r="E65" s="11"/>
      <c r="F65" s="11">
        <v>3</v>
      </c>
      <c r="G65" s="11" t="s">
        <v>557</v>
      </c>
      <c r="H65" s="11" t="s">
        <v>42</v>
      </c>
      <c r="I65" s="11" t="s">
        <v>545</v>
      </c>
      <c r="J65" s="11"/>
      <c r="K65" s="11"/>
      <c r="L65" s="15" t="s">
        <v>558</v>
      </c>
      <c r="M65" s="11" t="s">
        <v>556</v>
      </c>
      <c r="N65" s="11" t="s">
        <v>555</v>
      </c>
      <c r="O65" s="11"/>
      <c r="P65" s="11"/>
      <c r="Q65" s="11"/>
      <c r="R65" s="11"/>
      <c r="S65" s="11"/>
      <c r="T65" s="11"/>
    </row>
    <row r="66" spans="1:20" s="19" customFormat="1" x14ac:dyDescent="0.45">
      <c r="A66" s="11" t="s">
        <v>496</v>
      </c>
      <c r="B66" s="11" t="s">
        <v>497</v>
      </c>
      <c r="C66" s="11" t="s">
        <v>498</v>
      </c>
      <c r="D66" s="11" t="s">
        <v>184</v>
      </c>
      <c r="E66" s="11" t="s">
        <v>499</v>
      </c>
      <c r="F66" s="11">
        <v>3</v>
      </c>
      <c r="G66" s="11" t="s">
        <v>500</v>
      </c>
      <c r="H66" s="11" t="s">
        <v>501</v>
      </c>
      <c r="I66" s="11" t="s">
        <v>502</v>
      </c>
      <c r="J66" s="11" t="s">
        <v>503</v>
      </c>
      <c r="K66" s="11"/>
      <c r="L66" s="11" t="s">
        <v>504</v>
      </c>
      <c r="M66" s="11" t="s">
        <v>505</v>
      </c>
      <c r="N66" s="11"/>
      <c r="O66" s="11"/>
      <c r="P66" s="11"/>
      <c r="Q66" s="11"/>
      <c r="R66" s="11"/>
      <c r="S66" s="11"/>
      <c r="T66" s="11"/>
    </row>
    <row r="67" spans="1:20" x14ac:dyDescent="0.45">
      <c r="A67" s="11" t="s">
        <v>738</v>
      </c>
      <c r="B67" s="11" t="s">
        <v>739</v>
      </c>
      <c r="F67" s="11" t="s">
        <v>820</v>
      </c>
      <c r="G67" s="11" t="s">
        <v>821</v>
      </c>
      <c r="L67" s="11" t="s">
        <v>819</v>
      </c>
      <c r="M67" s="11" t="s">
        <v>818</v>
      </c>
    </row>
    <row r="68" spans="1:20" x14ac:dyDescent="0.45">
      <c r="A68" s="11" t="s">
        <v>296</v>
      </c>
      <c r="B68" s="11" t="s">
        <v>297</v>
      </c>
      <c r="C68" s="11" t="s">
        <v>308</v>
      </c>
      <c r="D68" s="11" t="s">
        <v>311</v>
      </c>
      <c r="E68" s="11" t="s">
        <v>307</v>
      </c>
      <c r="F68" s="11">
        <v>3</v>
      </c>
      <c r="G68" s="11">
        <f>3*450</f>
        <v>1350</v>
      </c>
      <c r="H68" s="11" t="s">
        <v>305</v>
      </c>
      <c r="I68" s="11" t="s">
        <v>306</v>
      </c>
      <c r="J68" s="11">
        <v>15</v>
      </c>
      <c r="K68" s="11" t="s">
        <v>289</v>
      </c>
      <c r="L68" s="11" t="s">
        <v>303</v>
      </c>
      <c r="M68" s="11" t="s">
        <v>304</v>
      </c>
    </row>
    <row r="69" spans="1:20" x14ac:dyDescent="0.45">
      <c r="A69" s="11" t="s">
        <v>1054</v>
      </c>
      <c r="B69" s="11" t="s">
        <v>1055</v>
      </c>
    </row>
    <row r="70" spans="1:20" x14ac:dyDescent="0.45">
      <c r="A70" s="11" t="s">
        <v>1237</v>
      </c>
    </row>
    <row r="71" spans="1:20" x14ac:dyDescent="0.45">
      <c r="A71" s="11" t="s">
        <v>740</v>
      </c>
      <c r="B71" s="11" t="s">
        <v>969</v>
      </c>
      <c r="C71" s="11" t="s">
        <v>973</v>
      </c>
      <c r="D71" s="11" t="s">
        <v>438</v>
      </c>
      <c r="E71" s="11" t="s">
        <v>970</v>
      </c>
      <c r="F71" s="11" t="s">
        <v>972</v>
      </c>
      <c r="G71" s="11" t="s">
        <v>971</v>
      </c>
      <c r="H71" s="11" t="s">
        <v>173</v>
      </c>
      <c r="I71" s="11" t="s">
        <v>284</v>
      </c>
      <c r="J71" s="11" t="s">
        <v>974</v>
      </c>
      <c r="M71" s="11" t="s">
        <v>975</v>
      </c>
    </row>
    <row r="72" spans="1:20" x14ac:dyDescent="0.45">
      <c r="A72" s="11" t="s">
        <v>340</v>
      </c>
      <c r="B72" s="11" t="s">
        <v>341</v>
      </c>
      <c r="D72" s="11" t="s">
        <v>311</v>
      </c>
      <c r="E72" s="11" t="s">
        <v>342</v>
      </c>
      <c r="F72" s="11">
        <v>4</v>
      </c>
      <c r="G72" s="11">
        <f>4*185</f>
        <v>740</v>
      </c>
      <c r="H72" s="11" t="s">
        <v>346</v>
      </c>
      <c r="I72" s="11" t="s">
        <v>306</v>
      </c>
      <c r="J72" s="11" t="s">
        <v>343</v>
      </c>
      <c r="K72" s="11">
        <v>2</v>
      </c>
      <c r="L72" s="11" t="s">
        <v>344</v>
      </c>
      <c r="M72" s="11" t="s">
        <v>345</v>
      </c>
      <c r="N72" s="11" t="s">
        <v>994</v>
      </c>
    </row>
    <row r="73" spans="1:20" x14ac:dyDescent="0.45">
      <c r="A73" s="11" t="s">
        <v>919</v>
      </c>
      <c r="B73" s="11" t="s">
        <v>920</v>
      </c>
      <c r="C73" s="11">
        <v>4</v>
      </c>
      <c r="D73" s="11" t="s">
        <v>913</v>
      </c>
      <c r="E73" s="11" t="s">
        <v>922</v>
      </c>
      <c r="F73" s="11" t="s">
        <v>923</v>
      </c>
      <c r="G73" s="11" t="s">
        <v>924</v>
      </c>
      <c r="H73" s="11" t="s">
        <v>42</v>
      </c>
      <c r="I73" s="11" t="s">
        <v>925</v>
      </c>
      <c r="J73" s="11" t="s">
        <v>926</v>
      </c>
      <c r="L73" s="11" t="s">
        <v>927</v>
      </c>
    </row>
    <row r="74" spans="1:20" x14ac:dyDescent="0.45">
      <c r="A74" s="11" t="s">
        <v>1041</v>
      </c>
      <c r="B74" s="11" t="s">
        <v>1042</v>
      </c>
      <c r="C74" s="11" t="s">
        <v>973</v>
      </c>
      <c r="D74" s="11" t="s">
        <v>184</v>
      </c>
      <c r="G74" s="11" t="s">
        <v>1087</v>
      </c>
      <c r="I74" s="11" t="s">
        <v>284</v>
      </c>
      <c r="J74" s="11" t="s">
        <v>1086</v>
      </c>
      <c r="L74" s="11" t="s">
        <v>1088</v>
      </c>
      <c r="M74" s="11" t="s">
        <v>1168</v>
      </c>
    </row>
    <row r="75" spans="1:20" x14ac:dyDescent="0.45">
      <c r="A75" s="11" t="s">
        <v>1136</v>
      </c>
      <c r="B75" s="11" t="s">
        <v>1146</v>
      </c>
      <c r="C75" s="11" t="s">
        <v>950</v>
      </c>
      <c r="D75" s="11" t="s">
        <v>14</v>
      </c>
      <c r="E75" s="11" t="s">
        <v>1147</v>
      </c>
      <c r="F75" s="11" t="s">
        <v>1094</v>
      </c>
      <c r="G75" s="11" t="s">
        <v>1145</v>
      </c>
      <c r="H75" s="11" t="s">
        <v>269</v>
      </c>
      <c r="I75" s="11" t="s">
        <v>513</v>
      </c>
      <c r="J75" s="11" t="s">
        <v>1148</v>
      </c>
      <c r="L75" s="11" t="s">
        <v>1149</v>
      </c>
      <c r="M75" s="11" t="s">
        <v>1144</v>
      </c>
    </row>
    <row r="76" spans="1:20" x14ac:dyDescent="0.45">
      <c r="A76" s="11" t="s">
        <v>313</v>
      </c>
      <c r="B76" s="11" t="s">
        <v>314</v>
      </c>
      <c r="C76" s="11" t="s">
        <v>318</v>
      </c>
      <c r="D76" s="11" t="s">
        <v>315</v>
      </c>
      <c r="E76" s="11" t="s">
        <v>317</v>
      </c>
      <c r="F76" s="11">
        <v>7</v>
      </c>
      <c r="G76" s="11">
        <f>174*7</f>
        <v>1218</v>
      </c>
      <c r="H76" s="11" t="s">
        <v>316</v>
      </c>
      <c r="I76" s="11" t="s">
        <v>321</v>
      </c>
      <c r="J76" s="11">
        <v>16</v>
      </c>
      <c r="K76" s="11" t="s">
        <v>289</v>
      </c>
      <c r="L76" s="11" t="s">
        <v>319</v>
      </c>
      <c r="M76" s="11" t="s">
        <v>320</v>
      </c>
    </row>
    <row r="77" spans="1:20" s="12" customFormat="1" x14ac:dyDescent="0.45">
      <c r="A77" s="11" t="s">
        <v>655</v>
      </c>
      <c r="B77" s="11" t="s">
        <v>814</v>
      </c>
      <c r="C77" s="11">
        <v>5</v>
      </c>
      <c r="D77" s="11" t="s">
        <v>815</v>
      </c>
      <c r="E77" s="11"/>
      <c r="F77" s="11"/>
      <c r="G77" s="11"/>
      <c r="H77" s="11"/>
      <c r="I77" s="11"/>
      <c r="J77" s="11"/>
      <c r="K77" s="11"/>
      <c r="L77" s="11"/>
      <c r="M77" s="11" t="s">
        <v>816</v>
      </c>
      <c r="N77" s="11"/>
      <c r="O77" s="11"/>
      <c r="P77" s="11"/>
      <c r="Q77" s="11"/>
      <c r="R77" s="11"/>
      <c r="S77" s="11"/>
      <c r="T77" s="11"/>
    </row>
    <row r="78" spans="1:20" x14ac:dyDescent="0.45">
      <c r="A78" s="11" t="s">
        <v>761</v>
      </c>
      <c r="B78" s="11" t="s">
        <v>759</v>
      </c>
    </row>
    <row r="79" spans="1:20" x14ac:dyDescent="0.45">
      <c r="A79" s="12" t="s">
        <v>749</v>
      </c>
      <c r="B79" s="12" t="s">
        <v>807</v>
      </c>
      <c r="C79" s="12" t="s">
        <v>808</v>
      </c>
      <c r="D79" s="12" t="s">
        <v>809</v>
      </c>
      <c r="E79" s="12" t="s">
        <v>810</v>
      </c>
      <c r="F79" s="12">
        <v>7</v>
      </c>
      <c r="G79" s="12">
        <v>1378</v>
      </c>
      <c r="H79" s="12" t="s">
        <v>811</v>
      </c>
      <c r="I79" s="12" t="s">
        <v>513</v>
      </c>
      <c r="J79" s="12" t="s">
        <v>812</v>
      </c>
      <c r="K79" s="12"/>
      <c r="L79" s="12" t="s">
        <v>603</v>
      </c>
      <c r="M79" s="12" t="s">
        <v>813</v>
      </c>
      <c r="N79" s="12"/>
      <c r="O79" s="12"/>
      <c r="P79" s="12"/>
      <c r="Q79" s="12"/>
      <c r="R79" s="12"/>
      <c r="S79" s="12"/>
      <c r="T79" s="12"/>
    </row>
    <row r="80" spans="1:20" x14ac:dyDescent="0.45">
      <c r="A80" s="11" t="s">
        <v>1130</v>
      </c>
      <c r="B80" s="11" t="s">
        <v>1129</v>
      </c>
      <c r="C80" s="11" t="s">
        <v>1132</v>
      </c>
      <c r="D80" s="11" t="s">
        <v>509</v>
      </c>
      <c r="E80" s="11" t="s">
        <v>326</v>
      </c>
      <c r="F80" s="11" t="s">
        <v>1094</v>
      </c>
      <c r="G80" s="11" t="s">
        <v>1134</v>
      </c>
      <c r="H80" s="11" t="s">
        <v>42</v>
      </c>
      <c r="I80" s="11" t="s">
        <v>502</v>
      </c>
      <c r="J80" s="11" t="s">
        <v>1133</v>
      </c>
      <c r="K80" s="11" t="s">
        <v>634</v>
      </c>
      <c r="L80" s="11" t="s">
        <v>1135</v>
      </c>
      <c r="M80" s="11" t="s">
        <v>1131</v>
      </c>
      <c r="N80" s="11" t="s">
        <v>1169</v>
      </c>
    </row>
    <row r="81" spans="1:20" x14ac:dyDescent="0.45">
      <c r="A81" s="11" t="s">
        <v>928</v>
      </c>
      <c r="B81" s="11" t="s">
        <v>929</v>
      </c>
      <c r="E81" s="11" t="s">
        <v>931</v>
      </c>
      <c r="F81" s="11" t="s">
        <v>932</v>
      </c>
      <c r="G81" s="11" t="s">
        <v>933</v>
      </c>
      <c r="H81" s="11" t="s">
        <v>934</v>
      </c>
      <c r="I81" s="11" t="s">
        <v>925</v>
      </c>
      <c r="J81" s="11" t="s">
        <v>935</v>
      </c>
      <c r="K81" s="11" t="s">
        <v>634</v>
      </c>
      <c r="L81" s="11" t="s">
        <v>936</v>
      </c>
      <c r="M81" s="11" t="s">
        <v>930</v>
      </c>
      <c r="N81" s="11" t="s">
        <v>938</v>
      </c>
    </row>
    <row r="82" spans="1:20" x14ac:dyDescent="0.45">
      <c r="A82" s="11" t="s">
        <v>1238</v>
      </c>
    </row>
    <row r="83" spans="1:20" x14ac:dyDescent="0.45">
      <c r="A83" s="11" t="s">
        <v>741</v>
      </c>
    </row>
    <row r="84" spans="1:20" x14ac:dyDescent="0.45">
      <c r="A84" s="11" t="s">
        <v>480</v>
      </c>
      <c r="B84" s="11" t="s">
        <v>481</v>
      </c>
      <c r="C84" s="11">
        <v>4</v>
      </c>
      <c r="D84" s="11" t="s">
        <v>184</v>
      </c>
      <c r="E84" s="11" t="s">
        <v>482</v>
      </c>
      <c r="F84" s="11" t="s">
        <v>483</v>
      </c>
      <c r="G84" s="11" t="s">
        <v>484</v>
      </c>
      <c r="H84" s="11" t="s">
        <v>358</v>
      </c>
      <c r="I84" s="11" t="s">
        <v>362</v>
      </c>
      <c r="J84" s="11">
        <v>10</v>
      </c>
      <c r="L84" s="11" t="s">
        <v>485</v>
      </c>
      <c r="M84" s="11" t="s">
        <v>365</v>
      </c>
      <c r="N84" s="11" t="s">
        <v>486</v>
      </c>
    </row>
    <row r="85" spans="1:20" x14ac:dyDescent="0.45">
      <c r="A85" s="11" t="s">
        <v>742</v>
      </c>
    </row>
    <row r="86" spans="1:20" x14ac:dyDescent="0.45">
      <c r="A86" s="19" t="s">
        <v>567</v>
      </c>
      <c r="B86" s="19" t="s">
        <v>566</v>
      </c>
      <c r="C86" s="19" t="s">
        <v>568</v>
      </c>
      <c r="D86" s="19" t="s">
        <v>14</v>
      </c>
      <c r="E86" s="19" t="s">
        <v>569</v>
      </c>
      <c r="F86" s="19" t="s">
        <v>570</v>
      </c>
      <c r="G86" s="19">
        <v>1250</v>
      </c>
      <c r="H86" s="19" t="s">
        <v>571</v>
      </c>
      <c r="I86" s="19"/>
      <c r="J86" s="19" t="s">
        <v>572</v>
      </c>
      <c r="K86" s="19"/>
      <c r="L86" s="19" t="s">
        <v>573</v>
      </c>
      <c r="M86" s="19" t="s">
        <v>574</v>
      </c>
      <c r="N86" s="19" t="s">
        <v>594</v>
      </c>
      <c r="O86" s="19"/>
      <c r="P86" s="19"/>
      <c r="Q86" s="19"/>
      <c r="R86" s="19"/>
      <c r="S86" s="19"/>
      <c r="T86" s="19"/>
    </row>
    <row r="87" spans="1:20" x14ac:dyDescent="0.45">
      <c r="A87" s="11" t="s">
        <v>944</v>
      </c>
      <c r="B87" s="11" t="s">
        <v>945</v>
      </c>
      <c r="C87" s="11" t="s">
        <v>950</v>
      </c>
      <c r="D87" s="11" t="s">
        <v>950</v>
      </c>
      <c r="E87" s="11" t="s">
        <v>946</v>
      </c>
      <c r="F87" s="11" t="s">
        <v>932</v>
      </c>
      <c r="G87" s="11" t="s">
        <v>947</v>
      </c>
      <c r="H87" s="11" t="s">
        <v>173</v>
      </c>
      <c r="I87" s="11" t="s">
        <v>284</v>
      </c>
      <c r="J87" s="11" t="s">
        <v>948</v>
      </c>
      <c r="K87" s="11" t="s">
        <v>634</v>
      </c>
      <c r="L87" s="11" t="s">
        <v>949</v>
      </c>
      <c r="M87" s="11" t="s">
        <v>1170</v>
      </c>
    </row>
    <row r="88" spans="1:20" x14ac:dyDescent="0.45">
      <c r="A88" s="11" t="s">
        <v>1137</v>
      </c>
      <c r="B88" s="11" t="s">
        <v>1150</v>
      </c>
      <c r="C88" s="11" t="s">
        <v>950</v>
      </c>
      <c r="D88" s="11" t="s">
        <v>83</v>
      </c>
      <c r="E88" s="11" t="s">
        <v>889</v>
      </c>
      <c r="F88" s="11" t="s">
        <v>978</v>
      </c>
      <c r="G88" s="11" t="s">
        <v>980</v>
      </c>
      <c r="H88" s="11" t="s">
        <v>1151</v>
      </c>
      <c r="I88" s="11" t="s">
        <v>513</v>
      </c>
      <c r="K88" s="11" t="s">
        <v>409</v>
      </c>
      <c r="L88" s="11" t="s">
        <v>1152</v>
      </c>
      <c r="M88" s="11" t="s">
        <v>1152</v>
      </c>
    </row>
    <row r="89" spans="1:20" s="19" customFormat="1" x14ac:dyDescent="0.45">
      <c r="A89" s="20" t="s">
        <v>605</v>
      </c>
      <c r="B89" s="20" t="s">
        <v>607</v>
      </c>
      <c r="C89" s="20" t="s">
        <v>610</v>
      </c>
      <c r="D89" s="20">
        <v>4</v>
      </c>
      <c r="E89" s="20" t="s">
        <v>614</v>
      </c>
      <c r="F89" s="20" t="s">
        <v>608</v>
      </c>
      <c r="G89" s="20" t="s">
        <v>613</v>
      </c>
      <c r="H89" s="20" t="s">
        <v>609</v>
      </c>
      <c r="I89" s="20" t="s">
        <v>502</v>
      </c>
      <c r="J89" s="20" t="s">
        <v>612</v>
      </c>
      <c r="K89" s="20"/>
      <c r="L89" s="20" t="s">
        <v>606</v>
      </c>
      <c r="M89" s="20" t="s">
        <v>611</v>
      </c>
      <c r="N89" s="20" t="s">
        <v>884</v>
      </c>
      <c r="O89" s="20"/>
      <c r="P89" s="20"/>
      <c r="Q89" s="20"/>
      <c r="R89" s="20"/>
      <c r="S89" s="20"/>
      <c r="T89" s="20"/>
    </row>
    <row r="90" spans="1:20" x14ac:dyDescent="0.45">
      <c r="A90" s="11" t="s">
        <v>743</v>
      </c>
    </row>
    <row r="91" spans="1:20" x14ac:dyDescent="0.45">
      <c r="A91" s="19" t="s">
        <v>541</v>
      </c>
      <c r="B91" s="19" t="s">
        <v>519</v>
      </c>
      <c r="C91" s="19" t="s">
        <v>466</v>
      </c>
      <c r="D91" s="19" t="s">
        <v>542</v>
      </c>
      <c r="E91" s="19" t="s">
        <v>543</v>
      </c>
      <c r="F91" s="19">
        <v>4</v>
      </c>
      <c r="G91" s="19">
        <v>500</v>
      </c>
      <c r="H91" s="19" t="s">
        <v>544</v>
      </c>
      <c r="I91" s="19" t="s">
        <v>545</v>
      </c>
      <c r="J91" s="19" t="s">
        <v>546</v>
      </c>
      <c r="K91" s="19"/>
      <c r="L91" s="19" t="s">
        <v>547</v>
      </c>
      <c r="M91" s="19" t="s">
        <v>548</v>
      </c>
      <c r="N91" s="19" t="s">
        <v>639</v>
      </c>
      <c r="O91" s="19"/>
      <c r="P91" s="19"/>
      <c r="Q91" s="19"/>
      <c r="R91" s="19"/>
      <c r="S91" s="19"/>
      <c r="T91" s="19"/>
    </row>
    <row r="92" spans="1:20" x14ac:dyDescent="0.45">
      <c r="A92" s="19" t="s">
        <v>745</v>
      </c>
      <c r="B92" s="19" t="s">
        <v>746</v>
      </c>
      <c r="C92" s="19">
        <v>3.75</v>
      </c>
      <c r="D92" s="19">
        <v>7</v>
      </c>
      <c r="E92" s="19" t="s">
        <v>876</v>
      </c>
      <c r="F92" s="19">
        <v>7</v>
      </c>
      <c r="G92" s="19" t="s">
        <v>874</v>
      </c>
      <c r="H92" s="19" t="s">
        <v>875</v>
      </c>
      <c r="I92" s="19" t="s">
        <v>513</v>
      </c>
      <c r="J92" s="19"/>
      <c r="K92" s="19"/>
      <c r="L92" s="19" t="s">
        <v>878</v>
      </c>
      <c r="M92" s="19" t="s">
        <v>877</v>
      </c>
      <c r="N92" s="19" t="s">
        <v>1165</v>
      </c>
      <c r="O92" s="19"/>
      <c r="P92" s="19"/>
      <c r="Q92" s="19"/>
      <c r="R92" s="19"/>
      <c r="S92" s="19"/>
      <c r="T92" s="19"/>
    </row>
    <row r="93" spans="1:20" x14ac:dyDescent="0.45">
      <c r="A93" s="11" t="s">
        <v>532</v>
      </c>
      <c r="B93" s="11" t="s">
        <v>1018</v>
      </c>
      <c r="C93" s="11" t="s">
        <v>1019</v>
      </c>
      <c r="D93" s="11" t="s">
        <v>13</v>
      </c>
      <c r="F93" s="11" t="s">
        <v>1020</v>
      </c>
      <c r="H93" s="11" t="s">
        <v>269</v>
      </c>
      <c r="I93" s="11" t="s">
        <v>545</v>
      </c>
      <c r="J93" s="11" t="s">
        <v>1021</v>
      </c>
      <c r="K93" s="11" t="s">
        <v>1022</v>
      </c>
      <c r="L93" s="11" t="s">
        <v>635</v>
      </c>
      <c r="M93" s="11" t="s">
        <v>1023</v>
      </c>
      <c r="N93" s="11" t="s">
        <v>533</v>
      </c>
    </row>
    <row r="94" spans="1:20" x14ac:dyDescent="0.45">
      <c r="A94" s="11" t="s">
        <v>1044</v>
      </c>
      <c r="B94" s="11" t="s">
        <v>1053</v>
      </c>
      <c r="C94" s="11" t="s">
        <v>1097</v>
      </c>
      <c r="D94" s="11" t="s">
        <v>83</v>
      </c>
      <c r="E94" s="11" t="s">
        <v>1098</v>
      </c>
      <c r="F94" s="11" t="s">
        <v>1094</v>
      </c>
      <c r="G94" s="11" t="s">
        <v>1095</v>
      </c>
      <c r="H94" s="11" t="s">
        <v>1096</v>
      </c>
      <c r="I94" s="11" t="s">
        <v>513</v>
      </c>
      <c r="J94" s="11" t="s">
        <v>1101</v>
      </c>
      <c r="K94" s="11" t="s">
        <v>409</v>
      </c>
      <c r="L94" s="11" t="s">
        <v>1099</v>
      </c>
      <c r="M94" s="11" t="s">
        <v>1100</v>
      </c>
      <c r="N94" s="11" t="s">
        <v>1102</v>
      </c>
    </row>
    <row r="95" spans="1:20" x14ac:dyDescent="0.45">
      <c r="A95" s="11" t="s">
        <v>747</v>
      </c>
    </row>
    <row r="96" spans="1:20" x14ac:dyDescent="0.45">
      <c r="A96" s="11" t="s">
        <v>1035</v>
      </c>
      <c r="B96" s="11" t="s">
        <v>1036</v>
      </c>
      <c r="C96" s="11" t="s">
        <v>1069</v>
      </c>
      <c r="D96" s="11" t="s">
        <v>72</v>
      </c>
      <c r="F96" s="11" t="s">
        <v>1071</v>
      </c>
      <c r="G96" s="11" t="s">
        <v>1070</v>
      </c>
      <c r="H96" s="11" t="s">
        <v>1067</v>
      </c>
      <c r="I96" s="11" t="s">
        <v>925</v>
      </c>
      <c r="J96" s="11" t="s">
        <v>1072</v>
      </c>
      <c r="K96" s="11" t="s">
        <v>409</v>
      </c>
      <c r="L96" s="11" t="s">
        <v>1073</v>
      </c>
      <c r="N96" s="11" t="s">
        <v>1279</v>
      </c>
    </row>
    <row r="97" spans="1:15" x14ac:dyDescent="0.45">
      <c r="A97" s="11" t="s">
        <v>1039</v>
      </c>
      <c r="B97" s="11" t="s">
        <v>1040</v>
      </c>
      <c r="C97" s="11" t="s">
        <v>1080</v>
      </c>
      <c r="D97" s="11" t="s">
        <v>1009</v>
      </c>
      <c r="F97" s="11" t="s">
        <v>950</v>
      </c>
      <c r="G97" s="11" t="s">
        <v>1085</v>
      </c>
      <c r="H97" s="11" t="s">
        <v>1084</v>
      </c>
      <c r="I97" s="11" t="s">
        <v>284</v>
      </c>
      <c r="J97" s="11" t="s">
        <v>1081</v>
      </c>
      <c r="K97" s="11" t="s">
        <v>634</v>
      </c>
      <c r="L97" s="11" t="s">
        <v>1082</v>
      </c>
      <c r="M97" s="11" t="s">
        <v>1083</v>
      </c>
      <c r="N97" s="11" t="s">
        <v>1166</v>
      </c>
    </row>
    <row r="98" spans="1:15" s="19" customFormat="1" x14ac:dyDescent="0.45">
      <c r="A98" s="19" t="s">
        <v>1240</v>
      </c>
    </row>
    <row r="99" spans="1:15" s="20" customFormat="1" x14ac:dyDescent="0.45">
      <c r="A99" s="20" t="s">
        <v>1241</v>
      </c>
    </row>
    <row r="100" spans="1:15" x14ac:dyDescent="0.45">
      <c r="A100" s="11" t="s">
        <v>396</v>
      </c>
      <c r="B100" s="11" t="s">
        <v>403</v>
      </c>
      <c r="C100" s="11">
        <v>3.5</v>
      </c>
      <c r="D100" s="11" t="s">
        <v>397</v>
      </c>
      <c r="E100" s="11" t="s">
        <v>398</v>
      </c>
      <c r="F100" s="11">
        <v>12</v>
      </c>
      <c r="G100" s="11">
        <f>220*12</f>
        <v>2640</v>
      </c>
      <c r="H100" s="11" t="s">
        <v>21</v>
      </c>
      <c r="I100" s="11" t="s">
        <v>284</v>
      </c>
      <c r="J100" s="11" t="s">
        <v>402</v>
      </c>
      <c r="K100" s="11" t="s">
        <v>399</v>
      </c>
      <c r="L100" s="11" t="s">
        <v>400</v>
      </c>
      <c r="M100" s="11" t="s">
        <v>401</v>
      </c>
      <c r="N100" s="11" t="s">
        <v>469</v>
      </c>
    </row>
    <row r="101" spans="1:15" x14ac:dyDescent="0.45">
      <c r="A101" s="11" t="s">
        <v>748</v>
      </c>
    </row>
    <row r="102" spans="1:15" x14ac:dyDescent="0.45">
      <c r="A102" s="11" t="s">
        <v>347</v>
      </c>
      <c r="B102" s="11" t="s">
        <v>348</v>
      </c>
      <c r="C102" s="11" t="s">
        <v>353</v>
      </c>
      <c r="D102" s="11" t="s">
        <v>315</v>
      </c>
      <c r="E102" s="11" t="s">
        <v>352</v>
      </c>
      <c r="F102" s="11">
        <v>12</v>
      </c>
      <c r="G102" s="11">
        <v>1641</v>
      </c>
      <c r="H102" s="11" t="s">
        <v>349</v>
      </c>
      <c r="I102" s="11" t="s">
        <v>306</v>
      </c>
      <c r="J102" s="11">
        <v>22</v>
      </c>
      <c r="K102" s="11">
        <v>4</v>
      </c>
      <c r="L102" s="11" t="s">
        <v>354</v>
      </c>
      <c r="M102" s="11" t="s">
        <v>350</v>
      </c>
      <c r="N102" s="11" t="s">
        <v>351</v>
      </c>
    </row>
    <row r="103" spans="1:15" x14ac:dyDescent="0.45">
      <c r="A103" s="11" t="s">
        <v>1242</v>
      </c>
    </row>
    <row r="104" spans="1:15" x14ac:dyDescent="0.45">
      <c r="A104" s="11" t="s">
        <v>750</v>
      </c>
      <c r="B104" s="11" t="s">
        <v>751</v>
      </c>
    </row>
    <row r="105" spans="1:15" x14ac:dyDescent="0.45">
      <c r="A105" s="11" t="s">
        <v>752</v>
      </c>
      <c r="B105" s="11" t="s">
        <v>805</v>
      </c>
      <c r="C105" s="11" t="s">
        <v>957</v>
      </c>
      <c r="D105" s="11" t="s">
        <v>37</v>
      </c>
      <c r="E105" s="11" t="s">
        <v>954</v>
      </c>
      <c r="F105" s="11" t="s">
        <v>955</v>
      </c>
      <c r="G105" s="11" t="s">
        <v>956</v>
      </c>
      <c r="H105" s="11" t="s">
        <v>952</v>
      </c>
      <c r="I105" s="11" t="s">
        <v>284</v>
      </c>
      <c r="J105" s="11" t="s">
        <v>953</v>
      </c>
      <c r="M105" s="11" t="s">
        <v>951</v>
      </c>
    </row>
    <row r="106" spans="1:15" x14ac:dyDescent="0.45">
      <c r="A106" s="11" t="s">
        <v>459</v>
      </c>
      <c r="B106" s="11" t="s">
        <v>460</v>
      </c>
      <c r="C106" s="11">
        <v>6</v>
      </c>
      <c r="D106" s="11" t="s">
        <v>391</v>
      </c>
      <c r="G106" s="11">
        <v>250</v>
      </c>
      <c r="I106" s="11" t="s">
        <v>284</v>
      </c>
      <c r="J106" s="11" t="s">
        <v>461</v>
      </c>
      <c r="K106" s="11" t="s">
        <v>409</v>
      </c>
      <c r="L106" s="11" t="s">
        <v>462</v>
      </c>
      <c r="M106" s="11" t="s">
        <v>463</v>
      </c>
    </row>
    <row r="107" spans="1:15" x14ac:dyDescent="0.45">
      <c r="A107" s="11" t="s">
        <v>473</v>
      </c>
      <c r="B107" s="11" t="s">
        <v>474</v>
      </c>
      <c r="C107" s="11">
        <v>4</v>
      </c>
      <c r="D107" s="11" t="s">
        <v>137</v>
      </c>
      <c r="E107" s="11" t="s">
        <v>475</v>
      </c>
      <c r="F107" s="11" t="s">
        <v>476</v>
      </c>
      <c r="G107" s="11">
        <v>690</v>
      </c>
      <c r="H107" s="11" t="s">
        <v>29</v>
      </c>
      <c r="I107" s="11" t="s">
        <v>477</v>
      </c>
      <c r="L107" s="11" t="s">
        <v>479</v>
      </c>
      <c r="M107" s="11" t="s">
        <v>493</v>
      </c>
      <c r="N107" s="11" t="s">
        <v>478</v>
      </c>
    </row>
    <row r="108" spans="1:15" x14ac:dyDescent="0.45">
      <c r="A108" s="11" t="s">
        <v>939</v>
      </c>
      <c r="B108" s="11" t="s">
        <v>940</v>
      </c>
      <c r="C108" s="11">
        <v>5.5</v>
      </c>
      <c r="D108" s="11" t="s">
        <v>942</v>
      </c>
      <c r="F108" s="11" t="s">
        <v>932</v>
      </c>
      <c r="G108" s="11" t="s">
        <v>943</v>
      </c>
      <c r="H108" s="11" t="s">
        <v>173</v>
      </c>
      <c r="I108" s="11" t="s">
        <v>284</v>
      </c>
      <c r="M108" s="11" t="s">
        <v>941</v>
      </c>
    </row>
    <row r="110" spans="1:15" s="13" customFormat="1" x14ac:dyDescent="0.45">
      <c r="A110" s="13" t="s">
        <v>998</v>
      </c>
      <c r="B110" s="13" t="s">
        <v>999</v>
      </c>
      <c r="C110" s="13" t="s">
        <v>1000</v>
      </c>
      <c r="D110" s="13" t="s">
        <v>72</v>
      </c>
      <c r="E110" s="13" t="s">
        <v>1001</v>
      </c>
      <c r="F110" s="13" t="s">
        <v>932</v>
      </c>
      <c r="G110" s="13" t="s">
        <v>1002</v>
      </c>
      <c r="H110" s="13" t="s">
        <v>571</v>
      </c>
      <c r="I110" s="13" t="s">
        <v>1003</v>
      </c>
      <c r="M110" s="13" t="s">
        <v>1004</v>
      </c>
      <c r="N110" s="13" t="s">
        <v>1199</v>
      </c>
    </row>
    <row r="111" spans="1:15" s="13" customFormat="1" x14ac:dyDescent="0.45">
      <c r="A111" s="13" t="s">
        <v>1045</v>
      </c>
      <c r="B111" s="13" t="s">
        <v>1048</v>
      </c>
      <c r="C111" s="13" t="s">
        <v>957</v>
      </c>
      <c r="D111" s="13" t="s">
        <v>1109</v>
      </c>
      <c r="E111" s="13" t="s">
        <v>1110</v>
      </c>
      <c r="F111" s="13" t="s">
        <v>978</v>
      </c>
      <c r="G111" s="13" t="s">
        <v>1111</v>
      </c>
      <c r="H111" s="13" t="s">
        <v>21</v>
      </c>
      <c r="I111" s="13" t="s">
        <v>1106</v>
      </c>
      <c r="J111" s="13" t="s">
        <v>1105</v>
      </c>
      <c r="L111" s="13" t="s">
        <v>1107</v>
      </c>
      <c r="M111" s="13" t="s">
        <v>1108</v>
      </c>
      <c r="N111" s="13" t="s">
        <v>1243</v>
      </c>
    </row>
    <row r="112" spans="1:15" s="13" customFormat="1" x14ac:dyDescent="0.45">
      <c r="A112" s="13" t="s">
        <v>1043</v>
      </c>
      <c r="B112" s="13" t="s">
        <v>1049</v>
      </c>
      <c r="C112" s="13" t="s">
        <v>950</v>
      </c>
      <c r="D112" s="13" t="s">
        <v>83</v>
      </c>
      <c r="F112" s="13" t="s">
        <v>950</v>
      </c>
      <c r="G112" s="13" t="s">
        <v>1092</v>
      </c>
      <c r="H112" s="13" t="s">
        <v>837</v>
      </c>
      <c r="I112" s="13" t="s">
        <v>530</v>
      </c>
      <c r="J112" s="13" t="s">
        <v>1090</v>
      </c>
      <c r="L112" s="13" t="s">
        <v>1089</v>
      </c>
      <c r="M112" s="13" t="s">
        <v>1091</v>
      </c>
      <c r="O112" s="13" t="s">
        <v>1278</v>
      </c>
    </row>
    <row r="113" spans="1:19" s="13" customFormat="1" x14ac:dyDescent="0.45">
      <c r="A113" s="13" t="s">
        <v>526</v>
      </c>
      <c r="B113" s="13" t="s">
        <v>527</v>
      </c>
      <c r="C113" s="13" t="s">
        <v>330</v>
      </c>
      <c r="D113" s="13" t="s">
        <v>528</v>
      </c>
      <c r="F113" s="13">
        <v>3</v>
      </c>
      <c r="G113" s="13" t="s">
        <v>529</v>
      </c>
      <c r="H113" s="13" t="s">
        <v>42</v>
      </c>
      <c r="I113" s="13" t="s">
        <v>530</v>
      </c>
      <c r="J113" s="13">
        <v>15</v>
      </c>
      <c r="K113" s="13" t="s">
        <v>524</v>
      </c>
      <c r="L113" s="13" t="s">
        <v>504</v>
      </c>
      <c r="M113" s="13" t="s">
        <v>531</v>
      </c>
      <c r="N113" s="13" t="s">
        <v>1188</v>
      </c>
    </row>
    <row r="114" spans="1:19" s="13" customFormat="1" x14ac:dyDescent="0.45">
      <c r="A114" s="13" t="s">
        <v>537</v>
      </c>
    </row>
    <row r="115" spans="1:19" s="13" customFormat="1" x14ac:dyDescent="0.45">
      <c r="A115" s="13" t="s">
        <v>562</v>
      </c>
      <c r="B115" s="13" t="s">
        <v>563</v>
      </c>
      <c r="C115" s="13" t="s">
        <v>330</v>
      </c>
      <c r="F115" s="13">
        <v>2</v>
      </c>
      <c r="G115" s="13">
        <v>1088</v>
      </c>
      <c r="H115" s="13" t="s">
        <v>42</v>
      </c>
    </row>
    <row r="116" spans="1:19" x14ac:dyDescent="0.45">
      <c r="A116" s="13" t="s">
        <v>629</v>
      </c>
      <c r="B116" s="13" t="s">
        <v>630</v>
      </c>
      <c r="C116" s="13" t="s">
        <v>520</v>
      </c>
      <c r="D116" s="13" t="s">
        <v>41</v>
      </c>
      <c r="E116" s="13" t="s">
        <v>631</v>
      </c>
      <c r="F116" s="13">
        <v>1</v>
      </c>
      <c r="G116" s="13">
        <v>147</v>
      </c>
      <c r="H116" s="13" t="s">
        <v>632</v>
      </c>
      <c r="I116" s="13" t="s">
        <v>513</v>
      </c>
      <c r="J116" s="13" t="s">
        <v>633</v>
      </c>
      <c r="K116" s="13" t="s">
        <v>634</v>
      </c>
      <c r="L116" s="13" t="s">
        <v>635</v>
      </c>
      <c r="M116" s="13" t="s">
        <v>636</v>
      </c>
      <c r="N116" s="13" t="s">
        <v>637</v>
      </c>
      <c r="O116" s="13"/>
      <c r="P116" s="13"/>
      <c r="Q116" s="13"/>
      <c r="R116" s="13"/>
      <c r="S116" s="13"/>
    </row>
    <row r="117" spans="1:19" s="13" customFormat="1" x14ac:dyDescent="0.45">
      <c r="A117" s="13" t="s">
        <v>595</v>
      </c>
      <c r="B117" s="13" t="s">
        <v>596</v>
      </c>
      <c r="C117" s="13" t="s">
        <v>598</v>
      </c>
      <c r="D117" s="13" t="s">
        <v>597</v>
      </c>
      <c r="E117" s="13" t="s">
        <v>599</v>
      </c>
      <c r="G117" s="13" t="s">
        <v>600</v>
      </c>
      <c r="I117" s="13" t="s">
        <v>601</v>
      </c>
      <c r="J117" s="13" t="s">
        <v>602</v>
      </c>
      <c r="L117" s="13" t="s">
        <v>603</v>
      </c>
      <c r="M117" s="13" t="s">
        <v>873</v>
      </c>
      <c r="N117" s="13" t="s">
        <v>604</v>
      </c>
    </row>
    <row r="118" spans="1:19" s="13" customFormat="1" x14ac:dyDescent="0.45">
      <c r="A118" s="13" t="s">
        <v>442</v>
      </c>
      <c r="B118" s="13" t="s">
        <v>444</v>
      </c>
      <c r="C118" s="13">
        <v>6</v>
      </c>
      <c r="D118" s="13" t="s">
        <v>176</v>
      </c>
      <c r="E118" s="13" t="s">
        <v>446</v>
      </c>
      <c r="F118" s="13">
        <v>3</v>
      </c>
      <c r="G118" s="13" t="s">
        <v>447</v>
      </c>
      <c r="H118" s="13" t="s">
        <v>448</v>
      </c>
      <c r="I118" s="13" t="s">
        <v>284</v>
      </c>
      <c r="J118" s="13" t="s">
        <v>449</v>
      </c>
      <c r="L118" s="13" t="s">
        <v>443</v>
      </c>
      <c r="M118" s="13" t="s">
        <v>445</v>
      </c>
      <c r="N118" s="13" t="s">
        <v>1198</v>
      </c>
    </row>
    <row r="119" spans="1:19" s="13" customFormat="1" x14ac:dyDescent="0.45">
      <c r="A119" s="13" t="s">
        <v>1211</v>
      </c>
      <c r="B119" s="13" t="s">
        <v>1212</v>
      </c>
      <c r="C119" s="13" t="s">
        <v>1213</v>
      </c>
      <c r="D119" s="13" t="s">
        <v>13</v>
      </c>
      <c r="G119" s="13" t="s">
        <v>1214</v>
      </c>
      <c r="H119" s="13" t="s">
        <v>501</v>
      </c>
      <c r="I119" s="13" t="s">
        <v>284</v>
      </c>
      <c r="L119" s="13" t="s">
        <v>1215</v>
      </c>
      <c r="M119" s="13" t="s">
        <v>1216</v>
      </c>
    </row>
    <row r="120" spans="1:19" x14ac:dyDescent="0.45">
      <c r="A120" s="19" t="s">
        <v>995</v>
      </c>
    </row>
    <row r="121" spans="1:19" x14ac:dyDescent="0.45">
      <c r="A121" s="12" t="s">
        <v>997</v>
      </c>
    </row>
    <row r="122" spans="1:19" x14ac:dyDescent="0.45">
      <c r="A122" s="13" t="s">
        <v>996</v>
      </c>
    </row>
  </sheetData>
  <sortState xmlns:xlrd2="http://schemas.microsoft.com/office/spreadsheetml/2017/richdata2" ref="A2:T109">
    <sortCondition ref="A2:A109"/>
  </sortState>
  <hyperlinks>
    <hyperlink ref="L65" r:id="rId1" xr:uid="{9C6FD0CE-426C-4B04-BEB9-0791371A92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Stash</vt:lpstr>
      <vt:lpstr>patterns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Janiszewski</dc:creator>
  <cp:lastModifiedBy>Lara Janiszewski</cp:lastModifiedBy>
  <dcterms:created xsi:type="dcterms:W3CDTF">2019-05-30T03:42:13Z</dcterms:created>
  <dcterms:modified xsi:type="dcterms:W3CDTF">2020-04-13T18:29:26Z</dcterms:modified>
</cp:coreProperties>
</file>